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3" activeTab="5"/>
  </bookViews>
  <sheets>
    <sheet name="Item_Master" sheetId="1" r:id="rId1"/>
    <sheet name="Item_Detail" sheetId="3" r:id="rId2"/>
    <sheet name="Weapon" sheetId="2" r:id="rId3"/>
    <sheet name="Armor" sheetId="4" r:id="rId4"/>
    <sheet name="Character" sheetId="5" r:id="rId5"/>
    <sheet name="SkillConfig" sheetId="11" r:id="rId6"/>
    <sheet name="EffectConfig" sheetId="12" r:id="rId7"/>
    <sheet name="CharacterStat" sheetId="6" r:id="rId8"/>
    <sheet name="CharacterAttribute" sheetId="8" r:id="rId9"/>
    <sheet name="CharacterUpgrade" sheetId="7" r:id="rId10"/>
    <sheet name="BattleConfig" sheetId="9" r:id="rId11"/>
    <sheet name="StageEnemies" sheetId="10" r:id="rId12"/>
  </sheets>
  <definedNames>
    <definedName name="_xlnm._FilterDatabase" localSheetId="0" hidden="1">Item_Master!$A$1:$A$111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5" i="11" l="1"/>
  <c r="C25" i="11"/>
  <c r="B48" i="11" l="1"/>
  <c r="C48" i="11"/>
  <c r="E12" i="5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2" i="11"/>
  <c r="G3" i="5"/>
  <c r="G4" i="5"/>
  <c r="G5" i="5"/>
  <c r="G6" i="5"/>
  <c r="G7" i="5"/>
  <c r="G8" i="5"/>
  <c r="G9" i="5"/>
  <c r="G10" i="5"/>
  <c r="G11" i="5"/>
  <c r="G13" i="5"/>
  <c r="G14" i="5"/>
  <c r="G15" i="5"/>
  <c r="G16" i="5"/>
  <c r="G17" i="5"/>
  <c r="G2" i="5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2" i="5"/>
  <c r="E3" i="5"/>
  <c r="E4" i="5"/>
  <c r="E5" i="5"/>
  <c r="E6" i="5"/>
  <c r="E7" i="5"/>
  <c r="E8" i="5"/>
  <c r="E9" i="5"/>
  <c r="E10" i="5"/>
  <c r="E11" i="5"/>
  <c r="E13" i="5"/>
  <c r="E14" i="5"/>
  <c r="E15" i="5"/>
  <c r="E16" i="5"/>
  <c r="E17" i="5"/>
  <c r="E2" i="5"/>
</calcChain>
</file>

<file path=xl/sharedStrings.xml><?xml version="1.0" encoding="utf-8"?>
<sst xmlns="http://schemas.openxmlformats.org/spreadsheetml/2006/main" count="1371" uniqueCount="488">
  <si>
    <t>ID</t>
  </si>
  <si>
    <t>Name</t>
  </si>
  <si>
    <t>Description</t>
  </si>
  <si>
    <t>ItemType</t>
  </si>
  <si>
    <t>Rarity</t>
  </si>
  <si>
    <t>UseDescription</t>
  </si>
  <si>
    <t>Nimbus_Cudgel</t>
  </si>
  <si>
    <t>Triple_Edged_Blade</t>
  </si>
  <si>
    <t>Vanguard_Of_Volition</t>
  </si>
  <si>
    <t>Ninefold_Staff</t>
  </si>
  <si>
    <t>Nine_ToolThed_Rake</t>
  </si>
  <si>
    <t>Nimbus_Cloud</t>
  </si>
  <si>
    <t>Sunburst_Spade</t>
  </si>
  <si>
    <t>Reincarnation</t>
  </si>
  <si>
    <t>Ennead_spear</t>
  </si>
  <si>
    <t>Crescent_Axe</t>
  </si>
  <si>
    <t>Bronze_Hammer</t>
  </si>
  <si>
    <t>Moonlit_Firelfy</t>
  </si>
  <si>
    <t>Plantain_Fan</t>
  </si>
  <si>
    <t>Wings_of_Phoenix</t>
  </si>
  <si>
    <t>STR_NIMBUS_CUDGEL_NAME</t>
  </si>
  <si>
    <t>STR_TRIPLE_EDGED_BLADE_NAME</t>
  </si>
  <si>
    <t>STR_VANGUARD_OF_VOLITION_NAME</t>
  </si>
  <si>
    <t>STR_NINEFOLD_STAFF_NAME</t>
  </si>
  <si>
    <t>STR_NINE_TOOLTHED_RAKE_NAME</t>
  </si>
  <si>
    <t>STR_NIMBUS_CLOUD_NAME</t>
  </si>
  <si>
    <t>STR_SUNBURST_SPADE_NAME</t>
  </si>
  <si>
    <t>STR_REINCARNATION_NAME</t>
  </si>
  <si>
    <t>STR_ENNEAD_SPEAR_NAME</t>
  </si>
  <si>
    <t>STR_CRESCENT_AXE_NAME</t>
  </si>
  <si>
    <t>STR_BRONZE_HAMMER_NAME</t>
  </si>
  <si>
    <t>STR_MOONLIT_FIREFLY_NAME</t>
  </si>
  <si>
    <t>STR_PLANTAIN_FAN_NAME</t>
  </si>
  <si>
    <t>STR_WINGS_OF_PHOENIX_NAME</t>
  </si>
  <si>
    <t>STR_NIMBUS_CUDGEL_DES</t>
  </si>
  <si>
    <t>STR_TRIPLE_EDGED_BLADE_DES</t>
  </si>
  <si>
    <t>STR_VANGUARD_OF_VOLITION_DES</t>
  </si>
  <si>
    <t>STR_NINEFOLD_STAFF_DES</t>
  </si>
  <si>
    <t>STR_NINE_TOOLTHED_RAKE_DES</t>
  </si>
  <si>
    <t>STR_NIMBUS_CLOUD_DES</t>
  </si>
  <si>
    <t>STR_SUNBURST_SPADE_DES</t>
  </si>
  <si>
    <t>STR_REINCARNATION_DES</t>
  </si>
  <si>
    <t>STR_ENNEAD_SPEAR_DES</t>
  </si>
  <si>
    <t>STR_CRESCENT_AXE_DES</t>
  </si>
  <si>
    <t>STR_BRONZE_HAMMER_DES</t>
  </si>
  <si>
    <t>STR_MOONLIT_FIREFLY_DES</t>
  </si>
  <si>
    <t>STR_PLANTAIN_FAN_DES</t>
  </si>
  <si>
    <t>STR_WINGS_OF_PHOENIX_DES</t>
  </si>
  <si>
    <t>STR_NIMBUS_CUDGEL_SKILL</t>
  </si>
  <si>
    <t>STR_TRIPLE_EDGED_BLADE_SKILL</t>
  </si>
  <si>
    <t>STR_VANGUARD_OF_VOLITION_SKILL</t>
  </si>
  <si>
    <t>STR_NINEFOLD_STAFF_SKILL</t>
  </si>
  <si>
    <t>STR_NINE_TOOLTHED_RAKE_SKILL</t>
  </si>
  <si>
    <t>STR_NIMBUS_CLOUD_SKILL</t>
  </si>
  <si>
    <t>STR_SUNBURST_SPADE_SKILL</t>
  </si>
  <si>
    <t>STR_REINCARNATION_SKILL</t>
  </si>
  <si>
    <t>STR_ENNEAD_SPEAR_SKILL</t>
  </si>
  <si>
    <t>STR_CRESCENT_AXE_SKILL</t>
  </si>
  <si>
    <t>STR_BRONZE_HAMMER_SKILL</t>
  </si>
  <si>
    <t>STR_MOONLIT_FIREFLY_SKILL</t>
  </si>
  <si>
    <t>STR_PLANTAIN_FAN_SKILL</t>
  </si>
  <si>
    <t>STR_WINGS_OF_PHOENIX_SKILL</t>
  </si>
  <si>
    <t>Weapon</t>
  </si>
  <si>
    <t>Legendary</t>
  </si>
  <si>
    <t>Rare</t>
  </si>
  <si>
    <t>Common</t>
  </si>
  <si>
    <t>Epic</t>
  </si>
  <si>
    <t>Uncommon</t>
  </si>
  <si>
    <t>Type</t>
  </si>
  <si>
    <t>HP</t>
  </si>
  <si>
    <t>ATK</t>
  </si>
  <si>
    <t>GrowthHP</t>
  </si>
  <si>
    <t>GrowthATK</t>
  </si>
  <si>
    <t>Fighter</t>
  </si>
  <si>
    <t>Assassin</t>
  </si>
  <si>
    <t>Mage</t>
  </si>
  <si>
    <t>Tanker</t>
  </si>
  <si>
    <t>Normal</t>
  </si>
  <si>
    <t>Support</t>
  </si>
  <si>
    <t>Lamian_Noodies</t>
  </si>
  <si>
    <t>Tofu_Soup</t>
  </si>
  <si>
    <t>Murshroom_Steamed_Buns</t>
  </si>
  <si>
    <t>Fried_Radish_Balls</t>
  </si>
  <si>
    <t>Jade_Parcels</t>
  </si>
  <si>
    <t>Shirmp_Dumplings</t>
  </si>
  <si>
    <t>Dragon_Bread_Noodies</t>
  </si>
  <si>
    <t>STR_LAMIAN_NOODIES_NAME</t>
  </si>
  <si>
    <t>STR_TOFU_SOUP_NAME</t>
  </si>
  <si>
    <t>STR_MUSHROOM_STEAMED_BUNS_NAME</t>
  </si>
  <si>
    <t>STR_FRIED_RADISH_BALLS_NAME</t>
  </si>
  <si>
    <t>STR_JADE_PARCELS_NAME</t>
  </si>
  <si>
    <t>STR_SHRIMP_DUMPLINGS_NAME</t>
  </si>
  <si>
    <t>STR_DRAGON_BREAD_NOODIES_NAME</t>
  </si>
  <si>
    <t>STR_LAMIAN_NOODIES_DES</t>
  </si>
  <si>
    <t>STR_TOFU_SOUP_USEFUL</t>
  </si>
  <si>
    <t>STR_MUSHROOM_STEAMED_BUNS_DES</t>
  </si>
  <si>
    <t>STR_FRIED_RADISH_BALLS_DES</t>
  </si>
  <si>
    <t>STR_JADE_PARCELS_DES</t>
  </si>
  <si>
    <t>STR_SHRIMP_DUMPLINGS_DES</t>
  </si>
  <si>
    <t>STR_DRAGON_BREAD_NOODIES_DES</t>
  </si>
  <si>
    <t>STR_LAMIAN_NOODIES_USEFUL</t>
  </si>
  <si>
    <t>STR_MUSHROOM_STEAMED_BUNS_SKILL</t>
  </si>
  <si>
    <t>STR_FRIED_RADISH_BALLS_USEFUL</t>
  </si>
  <si>
    <t>STR_JADE_PARCELS_USEFUL</t>
  </si>
  <si>
    <t>STR_SHRIMP_DUMPLINGS_USEFUL</t>
  </si>
  <si>
    <t>STR_DRAGON_BREAD_NOODIES_USEFUL</t>
  </si>
  <si>
    <t>Food</t>
  </si>
  <si>
    <t>Coin</t>
  </si>
  <si>
    <t>Jade</t>
  </si>
  <si>
    <t>RelicEssence</t>
  </si>
  <si>
    <t>ArmorPrimorite</t>
  </si>
  <si>
    <t>STR_COIN</t>
  </si>
  <si>
    <t>STR_JADE</t>
  </si>
  <si>
    <t>STR_RELIC_ESSENCE</t>
  </si>
  <si>
    <t>STR_ARMOR_PRIMORITE</t>
  </si>
  <si>
    <t>STR_COIN_DES</t>
  </si>
  <si>
    <t>STR_JADE_DES</t>
  </si>
  <si>
    <t>STR_RELIC_ESSENCE_DES</t>
  </si>
  <si>
    <t>STR_ARMOR_PRIMORITE_DES</t>
  </si>
  <si>
    <t>STR_COIN_USE</t>
  </si>
  <si>
    <t>STR_JADE_USE</t>
  </si>
  <si>
    <t>STR_RELIC_ESSENCE_USE</t>
  </si>
  <si>
    <t>STR_ARMOR_PRIMORITE_USE</t>
  </si>
  <si>
    <t>Currency</t>
  </si>
  <si>
    <t>Garnet_Gemstone</t>
  </si>
  <si>
    <t>Lapis_Lazuli_Gemstone</t>
  </si>
  <si>
    <t>Amethyst_Gemstone</t>
  </si>
  <si>
    <t>Yellow_Jade_Gemstone</t>
  </si>
  <si>
    <t>Topaz_Gemstone</t>
  </si>
  <si>
    <t>Jade_Gemstone</t>
  </si>
  <si>
    <t>Aquamarine_Gemstone</t>
  </si>
  <si>
    <t>Garnet_Chunk</t>
  </si>
  <si>
    <t>Lapis_Lazuli_Chunk</t>
  </si>
  <si>
    <t>Amethyst_Chunk</t>
  </si>
  <si>
    <t>Yellow_Jade_Chunk</t>
  </si>
  <si>
    <t>Topaz_Chunk</t>
  </si>
  <si>
    <t>Jade_Chunk</t>
  </si>
  <si>
    <t>Aquamarine_Chunk</t>
  </si>
  <si>
    <t>Garnet_Fragment</t>
  </si>
  <si>
    <t>Lapis_Lazuli_Fragment</t>
  </si>
  <si>
    <t>Amethyst_Fragment</t>
  </si>
  <si>
    <t>Yellow_Jade_Fragment</t>
  </si>
  <si>
    <t>Topaz_Fragment</t>
  </si>
  <si>
    <t>Jade_Fragment</t>
  </si>
  <si>
    <t>Aquamarine_Fragment</t>
  </si>
  <si>
    <t>Garnet_Sliver</t>
  </si>
  <si>
    <t>Lapis_Lazuli_Sliver</t>
  </si>
  <si>
    <t>Amethyst_Sliver</t>
  </si>
  <si>
    <t>Yellow_Jade_Sliver</t>
  </si>
  <si>
    <t>Topaz_Sliver</t>
  </si>
  <si>
    <t>Jade_Sliver</t>
  </si>
  <si>
    <t>Aquamarine_Sliver</t>
  </si>
  <si>
    <t>STR_GARNET_GEMSTONE_NAME</t>
  </si>
  <si>
    <t>STR_LAPIS_LAZULI_GEMSTONE_NAME</t>
  </si>
  <si>
    <t>STR_AMETHYST_GEMSTONE_NAME</t>
  </si>
  <si>
    <t>STR_YELLOW_JADE_GEMSTONE_NAME</t>
  </si>
  <si>
    <t>STR_TOPAZ_GEMSTONE_NAME</t>
  </si>
  <si>
    <t>STR_JADE_GEMSTONE_NAME</t>
  </si>
  <si>
    <t>STR_AQUAMARINE_GEMSTONE_NAME</t>
  </si>
  <si>
    <t>STR_GARNET_CHUNK_NAME</t>
  </si>
  <si>
    <t>STR_LAPIS_LAZULI_CHUNK_NAME</t>
  </si>
  <si>
    <t>STR_AMETHYST_CHUNK_NAME</t>
  </si>
  <si>
    <t>STR_YELLOW_JADE_CHUNK_NAME</t>
  </si>
  <si>
    <t>STR_TOPAZ_CHUNK_NAME</t>
  </si>
  <si>
    <t>STR_JADE_CHUNK_NAME</t>
  </si>
  <si>
    <t>STR_AQUAMARINE_CHUNK_NAME</t>
  </si>
  <si>
    <t>STR_GARNET_FRAGMENT_NAME</t>
  </si>
  <si>
    <t>STR_LAPIS_LAZULI_FRAGMENT_NAME</t>
  </si>
  <si>
    <t>STR_AMETHYST_FRAGMENT_NAME</t>
  </si>
  <si>
    <t>STR_YELLOW_JADE_FRAGMENT_NAME</t>
  </si>
  <si>
    <t>STR_TOPAZ_FRAGMENT_NAME</t>
  </si>
  <si>
    <t>STR_JADE_FRAGMENT_NAME</t>
  </si>
  <si>
    <t>STR_AQUAMARINE_FRAGMENT_NAME</t>
  </si>
  <si>
    <t>STR_GARNET_SLIVER_NAME</t>
  </si>
  <si>
    <t>STR_LAPIS_LAZULI_SLIVER_NAME</t>
  </si>
  <si>
    <t>STR_AMETHYST_SLIVER_NAME</t>
  </si>
  <si>
    <t>STR_YELLOW_JADE_SLIVER_NAME</t>
  </si>
  <si>
    <t>STR_TOPAZ_SLIVER_NAME</t>
  </si>
  <si>
    <t>STR_JADE_SLIVER_NAME</t>
  </si>
  <si>
    <t>STR_AQUAMARINE_SLIVER_NAME</t>
  </si>
  <si>
    <t>STR_GARNET_GEMSTONE_DES</t>
  </si>
  <si>
    <t>STR_LAPIS_LAZULI_GEMSTONE_DES</t>
  </si>
  <si>
    <t>STR_AMETHYST_GEMSTONE_DES</t>
  </si>
  <si>
    <t>STR_YELLOW_JADE_GEMSTONE_DES</t>
  </si>
  <si>
    <t>STR_TOPAZ_GEMSTONE_DES</t>
  </si>
  <si>
    <t>STR_JADE_GEMSTONE_DES</t>
  </si>
  <si>
    <t>STR_AQUAMARINE_GEMSTONE_DES</t>
  </si>
  <si>
    <t>STR_GEMSTONE_USEFUL</t>
  </si>
  <si>
    <t>Gemstone</t>
  </si>
  <si>
    <t>common_exp</t>
  </si>
  <si>
    <t>fine_exp</t>
  </si>
  <si>
    <t>rare_exp</t>
  </si>
  <si>
    <t>supreme_exp</t>
  </si>
  <si>
    <t>STR_COMMON_EXP</t>
  </si>
  <si>
    <t>STR_EXP_DESCRIPTION</t>
  </si>
  <si>
    <t>STR_EXP_USEFUL</t>
  </si>
  <si>
    <t>STR_FINE_EXP</t>
  </si>
  <si>
    <t>STR_RARE_EXP</t>
  </si>
  <si>
    <t>STR_SUPREME_EXP</t>
  </si>
  <si>
    <t>Exp</t>
  </si>
  <si>
    <t>STR_SUN_WUKONG</t>
  </si>
  <si>
    <t>STR_SHARD_DESCRIPTION</t>
  </si>
  <si>
    <t>STR_TANG_SANZANG</t>
  </si>
  <si>
    <t>STR_ZHU_BAIJE</t>
  </si>
  <si>
    <t>STR_SHA_WUJING</t>
  </si>
  <si>
    <t>STR_DRAGON_KING_EATERN_SEA</t>
  </si>
  <si>
    <t>STR_THIRD_PRINCE_NEZHA</t>
  </si>
  <si>
    <t>STR_LITTLE_WHITE_DRAGON</t>
  </si>
  <si>
    <t>STR_BULL_DEMON_KING</t>
  </si>
  <si>
    <t>STR_ERLANG_SHEN_YANG_JIAN</t>
  </si>
  <si>
    <t>STR_GUANYIN_BODHISATTVA</t>
  </si>
  <si>
    <t>Shard</t>
  </si>
  <si>
    <t>Armor01_Helmet</t>
  </si>
  <si>
    <t>Armor02_Helmet</t>
  </si>
  <si>
    <t>Armor03_Helmet</t>
  </si>
  <si>
    <t>Armor04_Helmet</t>
  </si>
  <si>
    <t>Armor05_Helmet</t>
  </si>
  <si>
    <t>Armor06_Helmet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</si>
  <si>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</si>
  <si>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</si>
  <si>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</si>
  <si>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</si>
  <si>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</si>
  <si>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</si>
  <si>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</si>
  <si>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</si>
  <si>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</si>
  <si>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</si>
  <si>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</si>
  <si>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</si>
  <si>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</si>
  <si>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</si>
  <si>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</si>
  <si>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</si>
  <si>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</si>
  <si>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</si>
  <si>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</si>
  <si>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</si>
  <si>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</si>
  <si>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</si>
  <si>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</si>
  <si>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</si>
  <si>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</si>
  <si>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</si>
  <si>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</si>
  <si>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</si>
  <si>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</si>
  <si>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</si>
  <si>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STR_ARMOR_01</t>
  </si>
  <si>
    <t>STR_ARMOR_02</t>
  </si>
  <si>
    <t>STR_ARMOR_03</t>
  </si>
  <si>
    <t>STR_ARMOR_04</t>
  </si>
  <si>
    <t>STR_ARMOR_05</t>
  </si>
  <si>
    <t>STR_ARMOR_06</t>
  </si>
  <si>
    <t>Armor</t>
  </si>
  <si>
    <t>Pram01</t>
  </si>
  <si>
    <t>Pram02</t>
  </si>
  <si>
    <t>AtlasGroup</t>
  </si>
  <si>
    <t>ShaWujing_avatar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</si>
  <si>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</si>
  <si>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</si>
  <si>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</si>
  <si>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</si>
  <si>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</si>
  <si>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</si>
  <si>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</si>
  <si>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</si>
  <si>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Avatar</t>
  </si>
  <si>
    <t>Part</t>
  </si>
  <si>
    <t>SetArmor</t>
  </si>
  <si>
    <t>Helmet</t>
  </si>
  <si>
    <t>Armor01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</si>
  <si>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</si>
  <si>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</si>
  <si>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</si>
  <si>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</si>
  <si>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</si>
  <si>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</si>
  <si>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</si>
  <si>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</si>
  <si>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</si>
  <si>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</si>
  <si>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SunWukong</t>
  </si>
  <si>
    <t>UR</t>
  </si>
  <si>
    <t>TangSanZang</t>
  </si>
  <si>
    <t>R</t>
  </si>
  <si>
    <t>ZhuBaJie</t>
  </si>
  <si>
    <t>SSR</t>
  </si>
  <si>
    <t>ShaWujing</t>
  </si>
  <si>
    <t>SR</t>
  </si>
  <si>
    <t>DragonKing</t>
  </si>
  <si>
    <t>ThirdPrinceNezha</t>
  </si>
  <si>
    <t>LittleWhiteDragon</t>
  </si>
  <si>
    <t>ADCarry</t>
  </si>
  <si>
    <t>BullDemonKing</t>
  </si>
  <si>
    <t>ErlangShen</t>
  </si>
  <si>
    <t>GuanyinBodhisattva</t>
  </si>
  <si>
    <t>hp</t>
  </si>
  <si>
    <t>atk</t>
  </si>
  <si>
    <t>def</t>
  </si>
  <si>
    <t>def_shred</t>
  </si>
  <si>
    <t>crit_rare</t>
  </si>
  <si>
    <t>crit_dmg</t>
  </si>
  <si>
    <t>penetration</t>
  </si>
  <si>
    <t>crit_dmg_res</t>
  </si>
  <si>
    <t>Enemy1</t>
  </si>
  <si>
    <t>AttributeType</t>
  </si>
  <si>
    <t>StatLink</t>
  </si>
  <si>
    <t>StartPercent</t>
  </si>
  <si>
    <t>1.0</t>
  </si>
  <si>
    <t>FireLance_Ring_Damasl</t>
  </si>
  <si>
    <t>STR_FIRELANCE_RING_DAMASL_NAME</t>
  </si>
  <si>
    <t>STR_FIRELANCE_RING_DAMASL_DES</t>
  </si>
  <si>
    <t>STR_FIRELANCE_RING_DAMASL_SKILL</t>
  </si>
  <si>
    <t>TheBoySage</t>
  </si>
  <si>
    <t>STR_THE_BOY_SAGE</t>
  </si>
  <si>
    <t>GoldHornKing</t>
  </si>
  <si>
    <t>SilverHornKing</t>
  </si>
  <si>
    <t>YellowWindMonster</t>
  </si>
  <si>
    <t>GoldfishDemon</t>
  </si>
  <si>
    <t>STR_GOLD_HORN_KING</t>
  </si>
  <si>
    <t>STR_SILVER_HORN_KING</t>
  </si>
  <si>
    <t>STR_YELLOW_WIND_MONSTER</t>
  </si>
  <si>
    <t>STR_GOLD_FISH_DEMON</t>
  </si>
  <si>
    <t>Tutorial_Default</t>
  </si>
  <si>
    <t>Default</t>
  </si>
  <si>
    <t>STR_BATTLE_TUTORIAL</t>
  </si>
  <si>
    <t>Reward</t>
  </si>
  <si>
    <t>Default_01</t>
  </si>
  <si>
    <t>BattleID</t>
  </si>
  <si>
    <t>Slot</t>
  </si>
  <si>
    <t>Enemy_ID</t>
  </si>
  <si>
    <t>Level</t>
  </si>
  <si>
    <t xml:space="preserve">VanguardTiger </t>
  </si>
  <si>
    <t>STR_VANGUARD_TIGER</t>
  </si>
  <si>
    <t>Melee</t>
  </si>
  <si>
    <t>Range</t>
  </si>
  <si>
    <t>Summon</t>
  </si>
  <si>
    <t>BuffShield</t>
  </si>
  <si>
    <t>Healing</t>
  </si>
  <si>
    <t>ThunderBall</t>
  </si>
  <si>
    <t>FireRing</t>
  </si>
  <si>
    <t>FireBall</t>
  </si>
  <si>
    <t>EmpowerAttack</t>
  </si>
  <si>
    <t>Torando</t>
  </si>
  <si>
    <t>Suriken</t>
  </si>
  <si>
    <t>DivineWind</t>
  </si>
  <si>
    <t>Base</t>
  </si>
  <si>
    <t>Major</t>
  </si>
  <si>
    <t>Ultimate</t>
  </si>
  <si>
    <t>None</t>
  </si>
  <si>
    <t>MajorAttack</t>
  </si>
  <si>
    <t>speed</t>
  </si>
  <si>
    <t>DamageMultiplier</t>
  </si>
  <si>
    <t>SunWukong_B</t>
  </si>
  <si>
    <t>SunWukong_M</t>
  </si>
  <si>
    <t>SunWukong_U</t>
  </si>
  <si>
    <t>TangSanZang_B</t>
  </si>
  <si>
    <t>TangSanZang_M</t>
  </si>
  <si>
    <t>TangSanZang_U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</si>
  <si>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</si>
  <si>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</si>
  <si>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</si>
  <si>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</si>
  <si>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</si>
  <si>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</si>
  <si>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</si>
  <si>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</si>
  <si>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</si>
  <si>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</si>
  <si>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</si>
  <si>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</si>
  <si>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</si>
  <si>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</si>
  <si>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</si>
  <si>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ErlangShen_B</t>
  </si>
  <si>
    <t>ErlangShen_M</t>
  </si>
  <si>
    <t>Des</t>
  </si>
  <si>
    <t>ErlangShen_U</t>
  </si>
  <si>
    <t>BullDemonKing_B</t>
  </si>
  <si>
    <t>BullDemonKing_M</t>
  </si>
  <si>
    <t>BullDemonKing_U</t>
  </si>
  <si>
    <t>GuanyinBodhisattva_B</t>
  </si>
  <si>
    <t>GuanyinBodhisattva_M</t>
  </si>
  <si>
    <t>GuanyinBodhisattva_U</t>
  </si>
  <si>
    <t>VanguardTiger_B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</si>
  <si>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</si>
  <si>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</si>
  <si>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</si>
  <si>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</si>
  <si>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</si>
  <si>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</si>
  <si>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SilverHornKing_U</t>
  </si>
  <si>
    <t>SilverHornKing_B</t>
  </si>
  <si>
    <t>SilverHornKing_M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</si>
  <si>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</si>
  <si>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</si>
  <si>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</si>
  <si>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</si>
  <si>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</si>
  <si>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</si>
  <si>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1.5</t>
  </si>
  <si>
    <t>1.8</t>
  </si>
  <si>
    <t>MaxCooldown</t>
  </si>
  <si>
    <t>VanguardTiger</t>
  </si>
  <si>
    <t>None_Skill</t>
  </si>
  <si>
    <t>FlatDamage</t>
  </si>
  <si>
    <t>TargetType</t>
  </si>
  <si>
    <t>SingleEnemy</t>
  </si>
  <si>
    <t>Self</t>
  </si>
  <si>
    <t>AllEnemies</t>
  </si>
  <si>
    <t>Duration</t>
  </si>
  <si>
    <t>Value</t>
  </si>
  <si>
    <t>MaxStack</t>
  </si>
  <si>
    <t>Poison</t>
  </si>
  <si>
    <t>EFF_Posion_def</t>
  </si>
  <si>
    <t>EFF_Stun_def</t>
  </si>
  <si>
    <t>TargetStat</t>
  </si>
  <si>
    <t>EFF_BufATK_def</t>
  </si>
  <si>
    <t>EFF_BufDEF_def</t>
  </si>
  <si>
    <t>EFF_BufSpd_def</t>
  </si>
  <si>
    <t>DEF</t>
  </si>
  <si>
    <t>SPEED</t>
  </si>
  <si>
    <t>Stun</t>
  </si>
  <si>
    <t>StatBuff</t>
  </si>
  <si>
    <t>EFF_DefSpd_def</t>
  </si>
  <si>
    <t>StatDebuff</t>
  </si>
  <si>
    <t>EFF_ResetDef</t>
  </si>
  <si>
    <t>RESIST_DEBUFF_NAME</t>
  </si>
  <si>
    <t>RESIST_DEBUFF_DES</t>
  </si>
  <si>
    <t>BUFF_DEF_NAME</t>
  </si>
  <si>
    <t>BUFF_DEF_DES</t>
  </si>
  <si>
    <t>BUFF_ATTACK_NAME</t>
  </si>
  <si>
    <t>BUFF_ATTACK_DES</t>
  </si>
  <si>
    <t>DEBUFF_STUN_NAME</t>
  </si>
  <si>
    <t>DEBUFF_STUN_DES</t>
  </si>
  <si>
    <t>BUFF_SPEED_NAME</t>
  </si>
  <si>
    <t>BUFF_SPEED_DES</t>
  </si>
  <si>
    <t>DEBUFF_SPEED_NAME</t>
  </si>
  <si>
    <t>DEBUFF_SPEED_DES</t>
  </si>
  <si>
    <t>EFF_POSION_NAME</t>
  </si>
  <si>
    <t>EFF_POSION_DES</t>
  </si>
  <si>
    <t>ResetDebuff</t>
  </si>
  <si>
    <t>Effect</t>
  </si>
  <si>
    <t>BackGround</t>
  </si>
  <si>
    <t>ModifyType</t>
  </si>
  <si>
    <t>Percent</t>
  </si>
  <si>
    <t>Constant</t>
  </si>
  <si>
    <t>PoisonBall</t>
  </si>
  <si>
    <t>StatModifier</t>
  </si>
  <si>
    <t>Boss</t>
  </si>
  <si>
    <t>Sound</t>
  </si>
  <si>
    <t>SunWukong_Attack</t>
  </si>
  <si>
    <t>TangSanZang_Attack</t>
  </si>
  <si>
    <t>SunWukong_Main</t>
  </si>
  <si>
    <t>Wind_Blow</t>
  </si>
  <si>
    <t>VanguardTiger_Attack</t>
  </si>
  <si>
    <t>TangSanZang_Major</t>
  </si>
  <si>
    <t>ZhuBaJie_Major</t>
  </si>
  <si>
    <t>ShaWujing_Major</t>
  </si>
  <si>
    <t>LittleWhiteDragon_Major</t>
  </si>
  <si>
    <t>TangSanZang_Main</t>
  </si>
  <si>
    <t>Battle_Test</t>
  </si>
  <si>
    <t>ZhuBaJie_Attack</t>
  </si>
  <si>
    <t>ShaWujing_Attack</t>
  </si>
  <si>
    <t>LittleWhiteDragon_Attack</t>
  </si>
  <si>
    <t>ZhuBaJie_Main</t>
  </si>
  <si>
    <t>ShaWujing_Main</t>
  </si>
  <si>
    <t>LittleWhiteDragon_Main</t>
  </si>
  <si>
    <t>ThirdPrinceNezha_Attack</t>
  </si>
  <si>
    <t>TheBoySage_Attack</t>
  </si>
  <si>
    <t>ThirdPrinceNezha_Main</t>
  </si>
  <si>
    <t>ThirdPrinceNezha_Major</t>
  </si>
  <si>
    <t>BullDemonKing_Major</t>
  </si>
  <si>
    <t>TheBoySage_Major</t>
  </si>
  <si>
    <t>YellowWindMonster_Attack</t>
  </si>
  <si>
    <t>TheBoySage_Main</t>
  </si>
  <si>
    <t>YellowWindMonster_Major</t>
  </si>
  <si>
    <t>YellowWindMonster_Main</t>
  </si>
  <si>
    <t>BullDemonKing_Main</t>
  </si>
  <si>
    <t>SilverHornKing_Attack</t>
  </si>
  <si>
    <t>GoldfishDemon_Attack</t>
  </si>
  <si>
    <t>SilverHornKing_Major</t>
  </si>
  <si>
    <t>GoldfishDemon_Major</t>
  </si>
  <si>
    <t>GoldHornKing_Attack</t>
  </si>
  <si>
    <t>GoldHornKing_Major</t>
  </si>
  <si>
    <t>GoldHornKing_Main</t>
  </si>
  <si>
    <t>GoldfishDemon_Main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</si>
</sst>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opLeftCell="A40" workbookViewId="0">
      <selection activeCell="B70" sqref="B70"/>
    </sheetView>
  </sheetViews>
  <sheetFormatPr defaultRowHeight="15" x14ac:dyDescent="0.25"/>
  <cols>
    <col min="1" max="1" width="26" bestFit="1" customWidth="1"/>
    <col min="2" max="2" width="38.7109375" bestFit="1" customWidth="1"/>
    <col min="3" max="3" width="33.42578125" bestFit="1" customWidth="1"/>
    <col min="4" max="4" width="37.5703125" bestFit="1" customWidth="1"/>
    <col min="7" max="7" width="10.855468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4</v>
      </c>
      <c r="G1" s="1" t="s">
        <v>257</v>
      </c>
    </row>
    <row r="2" spans="1:7" x14ac:dyDescent="0.25">
      <c r="A2" s="12" t="s">
        <v>6</v>
      </c>
      <c r="B2" t="s">
        <v>20</v>
      </c>
      <c r="C2" t="s">
        <v>34</v>
      </c>
      <c r="D2" t="s">
        <v>48</v>
      </c>
      <c r="E2" s="7" t="s">
        <v>62</v>
      </c>
      <c r="F2" s="2" t="s">
        <v>63</v>
      </c>
    </row>
    <row r="3" spans="1:7" x14ac:dyDescent="0.25">
      <c r="A3" s="12" t="s">
        <v>7</v>
      </c>
      <c r="B3" t="s">
        <v>21</v>
      </c>
      <c r="C3" t="s">
        <v>35</v>
      </c>
      <c r="D3" t="s">
        <v>49</v>
      </c>
      <c r="E3" s="7" t="s">
        <v>62</v>
      </c>
      <c r="F3" s="2" t="s">
        <v>63</v>
      </c>
    </row>
    <row r="4" spans="1:7" x14ac:dyDescent="0.25">
      <c r="A4" s="12" t="s">
        <v>8</v>
      </c>
      <c r="B4" t="s">
        <v>22</v>
      </c>
      <c r="C4" t="s">
        <v>36</v>
      </c>
      <c r="D4" t="s">
        <v>50</v>
      </c>
      <c r="E4" s="7" t="s">
        <v>62</v>
      </c>
      <c r="F4" s="2" t="s">
        <v>63</v>
      </c>
    </row>
    <row r="5" spans="1:7" x14ac:dyDescent="0.25">
      <c r="A5" s="12" t="s">
        <v>9</v>
      </c>
      <c r="B5" t="s">
        <v>23</v>
      </c>
      <c r="C5" t="s">
        <v>37</v>
      </c>
      <c r="D5" t="s">
        <v>51</v>
      </c>
      <c r="E5" s="7" t="s">
        <v>62</v>
      </c>
      <c r="F5" s="3" t="s">
        <v>64</v>
      </c>
    </row>
    <row r="6" spans="1:7" x14ac:dyDescent="0.25">
      <c r="A6" s="12" t="s">
        <v>10</v>
      </c>
      <c r="B6" t="s">
        <v>24</v>
      </c>
      <c r="C6" t="s">
        <v>38</v>
      </c>
      <c r="D6" t="s">
        <v>52</v>
      </c>
      <c r="E6" s="7" t="s">
        <v>62</v>
      </c>
      <c r="F6" s="2" t="s">
        <v>63</v>
      </c>
    </row>
    <row r="7" spans="1:7" x14ac:dyDescent="0.25">
      <c r="A7" s="12" t="s">
        <v>11</v>
      </c>
      <c r="B7" t="s">
        <v>25</v>
      </c>
      <c r="C7" t="s">
        <v>39</v>
      </c>
      <c r="D7" t="s">
        <v>53</v>
      </c>
      <c r="E7" s="7" t="s">
        <v>62</v>
      </c>
      <c r="F7" s="3" t="s">
        <v>64</v>
      </c>
    </row>
    <row r="8" spans="1:7" x14ac:dyDescent="0.25">
      <c r="A8" s="12" t="s">
        <v>12</v>
      </c>
      <c r="B8" t="s">
        <v>26</v>
      </c>
      <c r="C8" t="s">
        <v>40</v>
      </c>
      <c r="D8" t="s">
        <v>54</v>
      </c>
      <c r="E8" s="7" t="s">
        <v>62</v>
      </c>
      <c r="F8" s="4" t="s">
        <v>65</v>
      </c>
    </row>
    <row r="9" spans="1:7" x14ac:dyDescent="0.25">
      <c r="A9" s="12" t="s">
        <v>13</v>
      </c>
      <c r="B9" t="s">
        <v>27</v>
      </c>
      <c r="C9" t="s">
        <v>41</v>
      </c>
      <c r="D9" t="s">
        <v>55</v>
      </c>
      <c r="E9" s="7" t="s">
        <v>62</v>
      </c>
      <c r="F9" s="5" t="s">
        <v>66</v>
      </c>
    </row>
    <row r="10" spans="1:7" x14ac:dyDescent="0.25">
      <c r="A10" s="12" t="s">
        <v>14</v>
      </c>
      <c r="B10" t="s">
        <v>28</v>
      </c>
      <c r="C10" t="s">
        <v>42</v>
      </c>
      <c r="D10" t="s">
        <v>56</v>
      </c>
      <c r="E10" s="7" t="s">
        <v>62</v>
      </c>
      <c r="F10" s="6" t="s">
        <v>67</v>
      </c>
    </row>
    <row r="11" spans="1:7" x14ac:dyDescent="0.25">
      <c r="A11" s="12" t="s">
        <v>15</v>
      </c>
      <c r="B11" t="s">
        <v>29</v>
      </c>
      <c r="C11" t="s">
        <v>43</v>
      </c>
      <c r="D11" t="s">
        <v>57</v>
      </c>
      <c r="E11" s="7" t="s">
        <v>62</v>
      </c>
      <c r="F11" s="4" t="s">
        <v>65</v>
      </c>
    </row>
    <row r="12" spans="1:7" x14ac:dyDescent="0.25">
      <c r="A12" s="12" t="s">
        <v>16</v>
      </c>
      <c r="B12" t="s">
        <v>30</v>
      </c>
      <c r="C12" t="s">
        <v>44</v>
      </c>
      <c r="D12" t="s">
        <v>58</v>
      </c>
      <c r="E12" s="7" t="s">
        <v>62</v>
      </c>
      <c r="F12" s="6" t="s">
        <v>67</v>
      </c>
    </row>
    <row r="13" spans="1:7" x14ac:dyDescent="0.25">
      <c r="A13" s="12" t="s">
        <v>17</v>
      </c>
      <c r="B13" t="s">
        <v>31</v>
      </c>
      <c r="C13" t="s">
        <v>45</v>
      </c>
      <c r="D13" t="s">
        <v>59</v>
      </c>
      <c r="E13" s="7" t="s">
        <v>62</v>
      </c>
      <c r="F13" s="2" t="s">
        <v>63</v>
      </c>
    </row>
    <row r="14" spans="1:7" x14ac:dyDescent="0.25">
      <c r="A14" s="12" t="s">
        <v>18</v>
      </c>
      <c r="B14" t="s">
        <v>32</v>
      </c>
      <c r="C14" t="s">
        <v>46</v>
      </c>
      <c r="D14" t="s">
        <v>60</v>
      </c>
      <c r="E14" s="7" t="s">
        <v>62</v>
      </c>
      <c r="F14" s="5" t="s">
        <v>66</v>
      </c>
    </row>
    <row r="15" spans="1:7" x14ac:dyDescent="0.25">
      <c r="A15" s="12" t="s">
        <v>19</v>
      </c>
      <c r="B15" t="s">
        <v>33</v>
      </c>
      <c r="C15" t="s">
        <v>47</v>
      </c>
      <c r="D15" t="s">
        <v>61</v>
      </c>
      <c r="E15" s="7" t="s">
        <v>62</v>
      </c>
      <c r="F15" s="2" t="s">
        <v>63</v>
      </c>
    </row>
    <row r="16" spans="1:7" x14ac:dyDescent="0.25">
      <c r="A16" s="12" t="s">
        <v>310</v>
      </c>
      <c r="B16" t="s">
        <v>311</v>
      </c>
      <c r="C16" t="s">
        <v>312</v>
      </c>
      <c r="D16" t="s">
        <v>313</v>
      </c>
      <c r="E16" s="7" t="s">
        <v>62</v>
      </c>
      <c r="F16" s="2" t="s">
        <v>63</v>
      </c>
    </row>
    <row r="17" spans="1:6" x14ac:dyDescent="0.25">
      <c r="A17" s="11" t="s">
        <v>79</v>
      </c>
      <c r="B17" t="s">
        <v>86</v>
      </c>
      <c r="C17" t="s">
        <v>93</v>
      </c>
      <c r="D17" t="s">
        <v>100</v>
      </c>
      <c r="E17" s="7" t="s">
        <v>106</v>
      </c>
      <c r="F17" s="5" t="s">
        <v>66</v>
      </c>
    </row>
    <row r="18" spans="1:6" x14ac:dyDescent="0.25">
      <c r="A18" s="11" t="s">
        <v>80</v>
      </c>
      <c r="B18" t="s">
        <v>87</v>
      </c>
      <c r="C18" t="s">
        <v>94</v>
      </c>
      <c r="D18" t="s">
        <v>94</v>
      </c>
      <c r="E18" s="7" t="s">
        <v>106</v>
      </c>
      <c r="F18" s="6" t="s">
        <v>67</v>
      </c>
    </row>
    <row r="19" spans="1:6" x14ac:dyDescent="0.25">
      <c r="A19" s="11" t="s">
        <v>81</v>
      </c>
      <c r="B19" t="s">
        <v>88</v>
      </c>
      <c r="C19" t="s">
        <v>95</v>
      </c>
      <c r="D19" t="s">
        <v>101</v>
      </c>
      <c r="E19" s="7" t="s">
        <v>106</v>
      </c>
      <c r="F19" s="4" t="s">
        <v>65</v>
      </c>
    </row>
    <row r="20" spans="1:6" x14ac:dyDescent="0.25">
      <c r="A20" s="11" t="s">
        <v>82</v>
      </c>
      <c r="B20" t="s">
        <v>89</v>
      </c>
      <c r="C20" t="s">
        <v>96</v>
      </c>
      <c r="D20" t="s">
        <v>102</v>
      </c>
      <c r="E20" s="7" t="s">
        <v>106</v>
      </c>
      <c r="F20" s="4" t="s">
        <v>65</v>
      </c>
    </row>
    <row r="21" spans="1:6" x14ac:dyDescent="0.25">
      <c r="A21" s="11" t="s">
        <v>83</v>
      </c>
      <c r="B21" t="s">
        <v>90</v>
      </c>
      <c r="C21" t="s">
        <v>97</v>
      </c>
      <c r="D21" t="s">
        <v>103</v>
      </c>
      <c r="E21" s="7" t="s">
        <v>106</v>
      </c>
      <c r="F21" s="2" t="s">
        <v>63</v>
      </c>
    </row>
    <row r="22" spans="1:6" x14ac:dyDescent="0.25">
      <c r="A22" s="11" t="s">
        <v>84</v>
      </c>
      <c r="B22" t="s">
        <v>91</v>
      </c>
      <c r="C22" t="s">
        <v>98</v>
      </c>
      <c r="D22" t="s">
        <v>104</v>
      </c>
      <c r="E22" s="7" t="s">
        <v>106</v>
      </c>
      <c r="F22" s="3" t="s">
        <v>64</v>
      </c>
    </row>
    <row r="23" spans="1:6" x14ac:dyDescent="0.25">
      <c r="A23" s="11" t="s">
        <v>85</v>
      </c>
      <c r="B23" t="s">
        <v>92</v>
      </c>
      <c r="C23" t="s">
        <v>99</v>
      </c>
      <c r="D23" t="s">
        <v>105</v>
      </c>
      <c r="E23" s="7" t="s">
        <v>106</v>
      </c>
      <c r="F23" s="2" t="s">
        <v>63</v>
      </c>
    </row>
    <row r="24" spans="1:6" x14ac:dyDescent="0.25">
      <c r="A24" t="s">
        <v>107</v>
      </c>
      <c r="B24" t="s">
        <v>111</v>
      </c>
      <c r="C24" t="s">
        <v>115</v>
      </c>
      <c r="D24" t="s">
        <v>119</v>
      </c>
      <c r="E24" s="7" t="s">
        <v>123</v>
      </c>
      <c r="F24" s="2" t="s">
        <v>63</v>
      </c>
    </row>
    <row r="25" spans="1:6" x14ac:dyDescent="0.25">
      <c r="A25" t="s">
        <v>108</v>
      </c>
      <c r="B25" t="s">
        <v>112</v>
      </c>
      <c r="C25" t="s">
        <v>116</v>
      </c>
      <c r="D25" t="s">
        <v>120</v>
      </c>
      <c r="E25" s="7" t="s">
        <v>123</v>
      </c>
      <c r="F25" s="2" t="s">
        <v>63</v>
      </c>
    </row>
    <row r="26" spans="1:6" x14ac:dyDescent="0.25">
      <c r="A26" t="s">
        <v>109</v>
      </c>
      <c r="B26" t="s">
        <v>113</v>
      </c>
      <c r="C26" t="s">
        <v>117</v>
      </c>
      <c r="D26" t="s">
        <v>121</v>
      </c>
      <c r="E26" s="7" t="s">
        <v>123</v>
      </c>
      <c r="F26" s="2" t="s">
        <v>63</v>
      </c>
    </row>
    <row r="27" spans="1:6" x14ac:dyDescent="0.25">
      <c r="A27" t="s">
        <v>110</v>
      </c>
      <c r="B27" t="s">
        <v>114</v>
      </c>
      <c r="C27" t="s">
        <v>118</v>
      </c>
      <c r="D27" t="s">
        <v>122</v>
      </c>
      <c r="E27" s="7" t="s">
        <v>123</v>
      </c>
      <c r="F27" s="2" t="s">
        <v>63</v>
      </c>
    </row>
    <row r="28" spans="1:6" x14ac:dyDescent="0.25">
      <c r="A28" s="13" t="s">
        <v>124</v>
      </c>
      <c r="B28" t="s">
        <v>152</v>
      </c>
      <c r="C28" t="s">
        <v>180</v>
      </c>
      <c r="D28" t="s">
        <v>187</v>
      </c>
      <c r="E28" s="7" t="s">
        <v>188</v>
      </c>
      <c r="F28" s="2" t="s">
        <v>63</v>
      </c>
    </row>
    <row r="29" spans="1:6" x14ac:dyDescent="0.25">
      <c r="A29" s="13" t="s">
        <v>125</v>
      </c>
      <c r="B29" t="s">
        <v>153</v>
      </c>
      <c r="C29" t="s">
        <v>181</v>
      </c>
      <c r="D29" t="s">
        <v>187</v>
      </c>
      <c r="E29" s="7" t="s">
        <v>188</v>
      </c>
      <c r="F29" s="2" t="s">
        <v>63</v>
      </c>
    </row>
    <row r="30" spans="1:6" x14ac:dyDescent="0.25">
      <c r="A30" s="13" t="s">
        <v>126</v>
      </c>
      <c r="B30" t="s">
        <v>154</v>
      </c>
      <c r="C30" t="s">
        <v>182</v>
      </c>
      <c r="D30" t="s">
        <v>187</v>
      </c>
      <c r="E30" s="7" t="s">
        <v>188</v>
      </c>
      <c r="F30" s="2" t="s">
        <v>63</v>
      </c>
    </row>
    <row r="31" spans="1:6" x14ac:dyDescent="0.25">
      <c r="A31" s="13" t="s">
        <v>127</v>
      </c>
      <c r="B31" t="s">
        <v>155</v>
      </c>
      <c r="C31" t="s">
        <v>183</v>
      </c>
      <c r="D31" t="s">
        <v>187</v>
      </c>
      <c r="E31" s="7" t="s">
        <v>188</v>
      </c>
      <c r="F31" s="2" t="s">
        <v>63</v>
      </c>
    </row>
    <row r="32" spans="1:6" x14ac:dyDescent="0.25">
      <c r="A32" s="13" t="s">
        <v>128</v>
      </c>
      <c r="B32" t="s">
        <v>156</v>
      </c>
      <c r="C32" t="s">
        <v>184</v>
      </c>
      <c r="D32" t="s">
        <v>187</v>
      </c>
      <c r="E32" s="7" t="s">
        <v>188</v>
      </c>
      <c r="F32" s="2" t="s">
        <v>63</v>
      </c>
    </row>
    <row r="33" spans="1:6" x14ac:dyDescent="0.25">
      <c r="A33" s="13" t="s">
        <v>129</v>
      </c>
      <c r="B33" t="s">
        <v>157</v>
      </c>
      <c r="C33" t="s">
        <v>185</v>
      </c>
      <c r="D33" t="s">
        <v>187</v>
      </c>
      <c r="E33" s="7" t="s">
        <v>188</v>
      </c>
      <c r="F33" s="2" t="s">
        <v>63</v>
      </c>
    </row>
    <row r="34" spans="1:6" x14ac:dyDescent="0.25">
      <c r="A34" s="13" t="s">
        <v>130</v>
      </c>
      <c r="B34" t="s">
        <v>158</v>
      </c>
      <c r="C34" t="s">
        <v>186</v>
      </c>
      <c r="D34" t="s">
        <v>187</v>
      </c>
      <c r="E34" s="7" t="s">
        <v>188</v>
      </c>
      <c r="F34" s="2" t="s">
        <v>63</v>
      </c>
    </row>
    <row r="35" spans="1:6" x14ac:dyDescent="0.25">
      <c r="A35" s="13" t="s">
        <v>131</v>
      </c>
      <c r="B35" t="s">
        <v>159</v>
      </c>
      <c r="C35" t="s">
        <v>180</v>
      </c>
      <c r="D35" t="s">
        <v>187</v>
      </c>
      <c r="E35" s="7" t="s">
        <v>188</v>
      </c>
      <c r="F35" s="5" t="s">
        <v>66</v>
      </c>
    </row>
    <row r="36" spans="1:6" x14ac:dyDescent="0.25">
      <c r="A36" s="13" t="s">
        <v>132</v>
      </c>
      <c r="B36" t="s">
        <v>160</v>
      </c>
      <c r="C36" t="s">
        <v>181</v>
      </c>
      <c r="D36" t="s">
        <v>187</v>
      </c>
      <c r="E36" s="7" t="s">
        <v>188</v>
      </c>
      <c r="F36" s="5" t="s">
        <v>66</v>
      </c>
    </row>
    <row r="37" spans="1:6" x14ac:dyDescent="0.25">
      <c r="A37" s="13" t="s">
        <v>133</v>
      </c>
      <c r="B37" t="s">
        <v>161</v>
      </c>
      <c r="C37" t="s">
        <v>182</v>
      </c>
      <c r="D37" t="s">
        <v>187</v>
      </c>
      <c r="E37" s="7" t="s">
        <v>188</v>
      </c>
      <c r="F37" s="5" t="s">
        <v>66</v>
      </c>
    </row>
    <row r="38" spans="1:6" x14ac:dyDescent="0.25">
      <c r="A38" s="13" t="s">
        <v>134</v>
      </c>
      <c r="B38" t="s">
        <v>162</v>
      </c>
      <c r="C38" t="s">
        <v>183</v>
      </c>
      <c r="D38" t="s">
        <v>187</v>
      </c>
      <c r="E38" s="7" t="s">
        <v>188</v>
      </c>
      <c r="F38" s="5" t="s">
        <v>66</v>
      </c>
    </row>
    <row r="39" spans="1:6" x14ac:dyDescent="0.25">
      <c r="A39" s="13" t="s">
        <v>135</v>
      </c>
      <c r="B39" t="s">
        <v>163</v>
      </c>
      <c r="C39" t="s">
        <v>184</v>
      </c>
      <c r="D39" t="s">
        <v>187</v>
      </c>
      <c r="E39" s="7" t="s">
        <v>188</v>
      </c>
      <c r="F39" s="5" t="s">
        <v>66</v>
      </c>
    </row>
    <row r="40" spans="1:6" x14ac:dyDescent="0.25">
      <c r="A40" s="13" t="s">
        <v>136</v>
      </c>
      <c r="B40" t="s">
        <v>164</v>
      </c>
      <c r="C40" t="s">
        <v>185</v>
      </c>
      <c r="D40" t="s">
        <v>187</v>
      </c>
      <c r="E40" s="7" t="s">
        <v>188</v>
      </c>
      <c r="F40" s="5" t="s">
        <v>66</v>
      </c>
    </row>
    <row r="41" spans="1:6" x14ac:dyDescent="0.25">
      <c r="A41" s="13" t="s">
        <v>137</v>
      </c>
      <c r="B41" t="s">
        <v>165</v>
      </c>
      <c r="C41" t="s">
        <v>186</v>
      </c>
      <c r="D41" t="s">
        <v>187</v>
      </c>
      <c r="E41" s="7" t="s">
        <v>188</v>
      </c>
      <c r="F41" s="5" t="s">
        <v>66</v>
      </c>
    </row>
    <row r="42" spans="1:6" x14ac:dyDescent="0.25">
      <c r="A42" s="13" t="s">
        <v>138</v>
      </c>
      <c r="B42" t="s">
        <v>166</v>
      </c>
      <c r="C42" t="s">
        <v>180</v>
      </c>
      <c r="D42" t="s">
        <v>187</v>
      </c>
      <c r="E42" s="7" t="s">
        <v>188</v>
      </c>
      <c r="F42" s="3" t="s">
        <v>64</v>
      </c>
    </row>
    <row r="43" spans="1:6" x14ac:dyDescent="0.25">
      <c r="A43" s="13" t="s">
        <v>139</v>
      </c>
      <c r="B43" t="s">
        <v>167</v>
      </c>
      <c r="C43" t="s">
        <v>181</v>
      </c>
      <c r="D43" t="s">
        <v>187</v>
      </c>
      <c r="E43" s="7" t="s">
        <v>188</v>
      </c>
      <c r="F43" s="3" t="s">
        <v>64</v>
      </c>
    </row>
    <row r="44" spans="1:6" x14ac:dyDescent="0.25">
      <c r="A44" s="13" t="s">
        <v>140</v>
      </c>
      <c r="B44" t="s">
        <v>168</v>
      </c>
      <c r="C44" t="s">
        <v>182</v>
      </c>
      <c r="D44" t="s">
        <v>187</v>
      </c>
      <c r="E44" s="7" t="s">
        <v>188</v>
      </c>
      <c r="F44" s="3" t="s">
        <v>64</v>
      </c>
    </row>
    <row r="45" spans="1:6" x14ac:dyDescent="0.25">
      <c r="A45" s="13" t="s">
        <v>141</v>
      </c>
      <c r="B45" t="s">
        <v>169</v>
      </c>
      <c r="C45" t="s">
        <v>183</v>
      </c>
      <c r="D45" t="s">
        <v>187</v>
      </c>
      <c r="E45" s="7" t="s">
        <v>188</v>
      </c>
      <c r="F45" s="3" t="s">
        <v>64</v>
      </c>
    </row>
    <row r="46" spans="1:6" x14ac:dyDescent="0.25">
      <c r="A46" s="13" t="s">
        <v>142</v>
      </c>
      <c r="B46" t="s">
        <v>170</v>
      </c>
      <c r="C46" t="s">
        <v>184</v>
      </c>
      <c r="D46" t="s">
        <v>187</v>
      </c>
      <c r="E46" s="7" t="s">
        <v>188</v>
      </c>
      <c r="F46" s="3" t="s">
        <v>64</v>
      </c>
    </row>
    <row r="47" spans="1:6" x14ac:dyDescent="0.25">
      <c r="A47" s="13" t="s">
        <v>143</v>
      </c>
      <c r="B47" t="s">
        <v>171</v>
      </c>
      <c r="C47" t="s">
        <v>185</v>
      </c>
      <c r="D47" t="s">
        <v>187</v>
      </c>
      <c r="E47" s="7" t="s">
        <v>188</v>
      </c>
      <c r="F47" s="3" t="s">
        <v>64</v>
      </c>
    </row>
    <row r="48" spans="1:6" x14ac:dyDescent="0.25">
      <c r="A48" s="13" t="s">
        <v>144</v>
      </c>
      <c r="B48" t="s">
        <v>172</v>
      </c>
      <c r="C48" t="s">
        <v>186</v>
      </c>
      <c r="D48" t="s">
        <v>187</v>
      </c>
      <c r="E48" s="7" t="s">
        <v>188</v>
      </c>
      <c r="F48" s="3" t="s">
        <v>64</v>
      </c>
    </row>
    <row r="49" spans="1:6" x14ac:dyDescent="0.25">
      <c r="A49" s="13" t="s">
        <v>145</v>
      </c>
      <c r="B49" t="s">
        <v>173</v>
      </c>
      <c r="C49" t="s">
        <v>180</v>
      </c>
      <c r="D49" t="s">
        <v>187</v>
      </c>
      <c r="E49" s="7" t="s">
        <v>188</v>
      </c>
      <c r="F49" s="6" t="s">
        <v>67</v>
      </c>
    </row>
    <row r="50" spans="1:6" x14ac:dyDescent="0.25">
      <c r="A50" s="13" t="s">
        <v>146</v>
      </c>
      <c r="B50" t="s">
        <v>174</v>
      </c>
      <c r="C50" t="s">
        <v>181</v>
      </c>
      <c r="D50" t="s">
        <v>187</v>
      </c>
      <c r="E50" s="7" t="s">
        <v>188</v>
      </c>
      <c r="F50" s="6" t="s">
        <v>67</v>
      </c>
    </row>
    <row r="51" spans="1:6" x14ac:dyDescent="0.25">
      <c r="A51" s="13" t="s">
        <v>147</v>
      </c>
      <c r="B51" t="s">
        <v>175</v>
      </c>
      <c r="C51" t="s">
        <v>182</v>
      </c>
      <c r="D51" t="s">
        <v>187</v>
      </c>
      <c r="E51" s="7" t="s">
        <v>188</v>
      </c>
      <c r="F51" s="6" t="s">
        <v>67</v>
      </c>
    </row>
    <row r="52" spans="1:6" x14ac:dyDescent="0.25">
      <c r="A52" s="13" t="s">
        <v>148</v>
      </c>
      <c r="B52" t="s">
        <v>176</v>
      </c>
      <c r="C52" t="s">
        <v>183</v>
      </c>
      <c r="D52" t="s">
        <v>187</v>
      </c>
      <c r="E52" s="7" t="s">
        <v>188</v>
      </c>
      <c r="F52" s="6" t="s">
        <v>67</v>
      </c>
    </row>
    <row r="53" spans="1:6" x14ac:dyDescent="0.25">
      <c r="A53" s="13" t="s">
        <v>149</v>
      </c>
      <c r="B53" t="s">
        <v>177</v>
      </c>
      <c r="C53" t="s">
        <v>184</v>
      </c>
      <c r="D53" t="s">
        <v>187</v>
      </c>
      <c r="E53" s="7" t="s">
        <v>188</v>
      </c>
      <c r="F53" s="6" t="s">
        <v>67</v>
      </c>
    </row>
    <row r="54" spans="1:6" x14ac:dyDescent="0.25">
      <c r="A54" s="13" t="s">
        <v>150</v>
      </c>
      <c r="B54" t="s">
        <v>178</v>
      </c>
      <c r="C54" t="s">
        <v>185</v>
      </c>
      <c r="D54" t="s">
        <v>187</v>
      </c>
      <c r="E54" s="7" t="s">
        <v>188</v>
      </c>
      <c r="F54" s="6" t="s">
        <v>67</v>
      </c>
    </row>
    <row r="55" spans="1:6" x14ac:dyDescent="0.25">
      <c r="A55" s="13" t="s">
        <v>151</v>
      </c>
      <c r="B55" t="s">
        <v>179</v>
      </c>
      <c r="C55" t="s">
        <v>186</v>
      </c>
      <c r="D55" t="s">
        <v>187</v>
      </c>
      <c r="E55" s="7" t="s">
        <v>188</v>
      </c>
      <c r="F55" s="6" t="s">
        <v>67</v>
      </c>
    </row>
    <row r="56" spans="1:6" x14ac:dyDescent="0.25">
      <c r="A56" s="15" t="s">
        <v>189</v>
      </c>
      <c r="B56" t="s">
        <v>193</v>
      </c>
      <c r="C56" t="s">
        <v>194</v>
      </c>
      <c r="D56" t="s">
        <v>195</v>
      </c>
      <c r="E56" s="7" t="s">
        <v>199</v>
      </c>
      <c r="F56" s="6" t="s">
        <v>67</v>
      </c>
    </row>
    <row r="57" spans="1:6" x14ac:dyDescent="0.25">
      <c r="A57" s="15" t="s">
        <v>190</v>
      </c>
      <c r="B57" t="s">
        <v>196</v>
      </c>
      <c r="C57" t="s">
        <v>194</v>
      </c>
      <c r="D57" t="s">
        <v>195</v>
      </c>
      <c r="E57" s="7" t="s">
        <v>199</v>
      </c>
      <c r="F57" s="3" t="s">
        <v>64</v>
      </c>
    </row>
    <row r="58" spans="1:6" x14ac:dyDescent="0.25">
      <c r="A58" s="15" t="s">
        <v>191</v>
      </c>
      <c r="B58" t="s">
        <v>197</v>
      </c>
      <c r="C58" t="s">
        <v>194</v>
      </c>
      <c r="D58" t="s">
        <v>195</v>
      </c>
      <c r="E58" s="7" t="s">
        <v>199</v>
      </c>
      <c r="F58" s="5" t="s">
        <v>66</v>
      </c>
    </row>
    <row r="59" spans="1:6" x14ac:dyDescent="0.25">
      <c r="A59" s="15" t="s">
        <v>192</v>
      </c>
      <c r="B59" t="s">
        <v>198</v>
      </c>
      <c r="C59" t="s">
        <v>194</v>
      </c>
      <c r="D59" t="s">
        <v>195</v>
      </c>
      <c r="E59" s="7" t="s">
        <v>199</v>
      </c>
      <c r="F59" s="2" t="s">
        <v>63</v>
      </c>
    </row>
    <row r="60" spans="1:6" x14ac:dyDescent="0.25">
      <c r="A60" s="12" t="s">
        <v>282</v>
      </c>
      <c r="B60" t="s">
        <v>200</v>
      </c>
      <c r="C60" t="s">
        <v>201</v>
      </c>
      <c r="E60" s="7" t="s">
        <v>211</v>
      </c>
      <c r="F60" s="2" t="s">
        <v>63</v>
      </c>
    </row>
    <row r="61" spans="1:6" x14ac:dyDescent="0.25">
      <c r="A61" s="12" t="s">
        <v>284</v>
      </c>
      <c r="B61" t="s">
        <v>202</v>
      </c>
      <c r="C61" t="s">
        <v>201</v>
      </c>
      <c r="E61" s="7" t="s">
        <v>211</v>
      </c>
      <c r="F61" s="11" t="s">
        <v>67</v>
      </c>
    </row>
    <row r="62" spans="1:6" x14ac:dyDescent="0.25">
      <c r="A62" s="12" t="s">
        <v>286</v>
      </c>
      <c r="B62" t="s">
        <v>203</v>
      </c>
      <c r="C62" t="s">
        <v>201</v>
      </c>
      <c r="E62" s="7" t="s">
        <v>211</v>
      </c>
      <c r="F62" s="16" t="s">
        <v>66</v>
      </c>
    </row>
    <row r="63" spans="1:6" x14ac:dyDescent="0.25">
      <c r="A63" s="12" t="s">
        <v>288</v>
      </c>
      <c r="B63" t="s">
        <v>204</v>
      </c>
      <c r="C63" t="s">
        <v>201</v>
      </c>
      <c r="E63" s="7" t="s">
        <v>211</v>
      </c>
      <c r="F63" s="3" t="s">
        <v>64</v>
      </c>
    </row>
    <row r="64" spans="1:6" x14ac:dyDescent="0.25">
      <c r="A64" s="12" t="s">
        <v>290</v>
      </c>
      <c r="B64" t="s">
        <v>205</v>
      </c>
      <c r="C64" t="s">
        <v>201</v>
      </c>
      <c r="E64" s="7" t="s">
        <v>211</v>
      </c>
      <c r="F64" s="3" t="s">
        <v>64</v>
      </c>
    </row>
    <row r="65" spans="1:6" x14ac:dyDescent="0.25">
      <c r="A65" s="12" t="s">
        <v>291</v>
      </c>
      <c r="B65" t="s">
        <v>206</v>
      </c>
      <c r="C65" t="s">
        <v>201</v>
      </c>
      <c r="E65" s="7" t="s">
        <v>211</v>
      </c>
      <c r="F65" s="2" t="s">
        <v>63</v>
      </c>
    </row>
    <row r="66" spans="1:6" x14ac:dyDescent="0.25">
      <c r="A66" s="12" t="s">
        <v>292</v>
      </c>
      <c r="B66" t="s">
        <v>207</v>
      </c>
      <c r="C66" t="s">
        <v>201</v>
      </c>
      <c r="E66" s="7" t="s">
        <v>211</v>
      </c>
      <c r="F66" s="14" t="s">
        <v>65</v>
      </c>
    </row>
    <row r="67" spans="1:6" x14ac:dyDescent="0.25">
      <c r="A67" s="12" t="s">
        <v>294</v>
      </c>
      <c r="B67" t="s">
        <v>208</v>
      </c>
      <c r="C67" t="s">
        <v>201</v>
      </c>
      <c r="E67" s="7" t="s">
        <v>211</v>
      </c>
      <c r="F67" s="2" t="s">
        <v>63</v>
      </c>
    </row>
    <row r="68" spans="1:6" x14ac:dyDescent="0.25">
      <c r="A68" s="12" t="s">
        <v>295</v>
      </c>
      <c r="B68" t="s">
        <v>209</v>
      </c>
      <c r="C68" t="s">
        <v>201</v>
      </c>
      <c r="E68" s="7" t="s">
        <v>211</v>
      </c>
      <c r="F68" s="2" t="s">
        <v>63</v>
      </c>
    </row>
    <row r="69" spans="1:6" x14ac:dyDescent="0.25">
      <c r="A69" s="12" t="s">
        <v>296</v>
      </c>
      <c r="B69" t="s">
        <v>210</v>
      </c>
      <c r="C69" t="s">
        <v>201</v>
      </c>
      <c r="E69" s="7" t="s">
        <v>211</v>
      </c>
      <c r="F69" s="2" t="s">
        <v>63</v>
      </c>
    </row>
    <row r="70" spans="1:6" x14ac:dyDescent="0.25">
      <c r="A70" s="24" t="s">
        <v>333</v>
      </c>
      <c r="B70" t="s">
        <v>334</v>
      </c>
      <c r="C70" t="s">
        <v>201</v>
      </c>
      <c r="E70" s="7" t="s">
        <v>211</v>
      </c>
      <c r="F70" s="14" t="s">
        <v>65</v>
      </c>
    </row>
    <row r="71" spans="1:6" x14ac:dyDescent="0.25">
      <c r="A71" s="24" t="s">
        <v>314</v>
      </c>
      <c r="B71" t="s">
        <v>315</v>
      </c>
      <c r="C71" t="s">
        <v>201</v>
      </c>
      <c r="E71" s="7" t="s">
        <v>211</v>
      </c>
      <c r="F71" s="2" t="s">
        <v>63</v>
      </c>
    </row>
    <row r="72" spans="1:6" x14ac:dyDescent="0.25">
      <c r="A72" s="24" t="s">
        <v>316</v>
      </c>
      <c r="B72" t="s">
        <v>320</v>
      </c>
      <c r="C72" t="s">
        <v>201</v>
      </c>
      <c r="E72" s="7" t="s">
        <v>211</v>
      </c>
      <c r="F72" s="16" t="s">
        <v>66</v>
      </c>
    </row>
    <row r="73" spans="1:6" x14ac:dyDescent="0.25">
      <c r="A73" s="24" t="s">
        <v>317</v>
      </c>
      <c r="B73" t="s">
        <v>321</v>
      </c>
      <c r="C73" t="s">
        <v>201</v>
      </c>
      <c r="E73" s="7" t="s">
        <v>211</v>
      </c>
      <c r="F73" s="16" t="s">
        <v>66</v>
      </c>
    </row>
    <row r="74" spans="1:6" x14ac:dyDescent="0.25">
      <c r="A74" s="24" t="s">
        <v>318</v>
      </c>
      <c r="B74" t="s">
        <v>322</v>
      </c>
      <c r="C74" t="s">
        <v>201</v>
      </c>
      <c r="E74" s="7" t="s">
        <v>211</v>
      </c>
      <c r="F74" s="2" t="s">
        <v>63</v>
      </c>
    </row>
    <row r="75" spans="1:6" x14ac:dyDescent="0.25">
      <c r="A75" s="24" t="s">
        <v>319</v>
      </c>
      <c r="B75" t="s">
        <v>323</v>
      </c>
      <c r="C75" t="s">
        <v>201</v>
      </c>
      <c r="E75" s="7" t="s">
        <v>211</v>
      </c>
      <c r="F75" s="16" t="s">
        <v>66</v>
      </c>
    </row>
    <row r="76" spans="1:6" x14ac:dyDescent="0.25">
      <c r="A76" s="17" t="s">
        <v>212</v>
      </c>
      <c r="B76" t="s">
        <v>248</v>
      </c>
      <c r="E76" s="7" t="s">
        <v>254</v>
      </c>
      <c r="F76" s="14" t="s">
        <v>65</v>
      </c>
    </row>
    <row r="77" spans="1:6" x14ac:dyDescent="0.25">
      <c r="A77" s="17" t="s">
        <v>213</v>
      </c>
      <c r="B77" t="s">
        <v>249</v>
      </c>
      <c r="E77" s="7" t="s">
        <v>254</v>
      </c>
      <c r="F77" s="14" t="s">
        <v>65</v>
      </c>
    </row>
    <row r="78" spans="1:6" x14ac:dyDescent="0.25">
      <c r="A78" s="17" t="s">
        <v>214</v>
      </c>
      <c r="B78" t="s">
        <v>250</v>
      </c>
      <c r="E78" s="7" t="s">
        <v>254</v>
      </c>
      <c r="F78" s="14" t="s">
        <v>65</v>
      </c>
    </row>
    <row r="79" spans="1:6" x14ac:dyDescent="0.25">
      <c r="A79" s="17" t="s">
        <v>215</v>
      </c>
      <c r="B79" t="s">
        <v>251</v>
      </c>
      <c r="E79" s="7" t="s">
        <v>254</v>
      </c>
      <c r="F79" s="14" t="s">
        <v>65</v>
      </c>
    </row>
    <row r="80" spans="1:6" x14ac:dyDescent="0.25">
      <c r="A80" s="17" t="s">
        <v>216</v>
      </c>
      <c r="B80" t="s">
        <v>252</v>
      </c>
      <c r="E80" s="7" t="s">
        <v>254</v>
      </c>
      <c r="F80" s="14" t="s">
        <v>65</v>
      </c>
    </row>
    <row r="81" spans="1:6" x14ac:dyDescent="0.25">
      <c r="A81" s="17" t="s">
        <v>217</v>
      </c>
      <c r="B81" t="s">
        <v>253</v>
      </c>
      <c r="E81" s="7" t="s">
        <v>254</v>
      </c>
      <c r="F81" s="14" t="s">
        <v>65</v>
      </c>
    </row>
    <row r="82" spans="1:6" x14ac:dyDescent="0.25">
      <c r="A82" s="17" t="s">
        <v>218</v>
      </c>
      <c r="B82" t="s">
        <v>248</v>
      </c>
      <c r="E82" s="7" t="s">
        <v>254</v>
      </c>
      <c r="F82" s="14" t="s">
        <v>65</v>
      </c>
    </row>
    <row r="83" spans="1:6" x14ac:dyDescent="0.25">
      <c r="A83" s="17" t="s">
        <v>219</v>
      </c>
      <c r="B83" t="s">
        <v>249</v>
      </c>
      <c r="E83" s="7" t="s">
        <v>254</v>
      </c>
      <c r="F83" s="14" t="s">
        <v>65</v>
      </c>
    </row>
    <row r="84" spans="1:6" x14ac:dyDescent="0.25">
      <c r="A84" s="17" t="s">
        <v>220</v>
      </c>
      <c r="B84" t="s">
        <v>250</v>
      </c>
      <c r="E84" s="7" t="s">
        <v>254</v>
      </c>
      <c r="F84" s="14" t="s">
        <v>65</v>
      </c>
    </row>
    <row r="85" spans="1:6" x14ac:dyDescent="0.25">
      <c r="A85" s="17" t="s">
        <v>221</v>
      </c>
      <c r="B85" t="s">
        <v>251</v>
      </c>
      <c r="E85" s="7" t="s">
        <v>254</v>
      </c>
      <c r="F85" s="14" t="s">
        <v>65</v>
      </c>
    </row>
    <row r="86" spans="1:6" x14ac:dyDescent="0.25">
      <c r="A86" s="17" t="s">
        <v>222</v>
      </c>
      <c r="B86" t="s">
        <v>252</v>
      </c>
      <c r="E86" s="7" t="s">
        <v>254</v>
      </c>
      <c r="F86" s="14" t="s">
        <v>65</v>
      </c>
    </row>
    <row r="87" spans="1:6" x14ac:dyDescent="0.25">
      <c r="A87" s="17" t="s">
        <v>223</v>
      </c>
      <c r="B87" t="s">
        <v>253</v>
      </c>
      <c r="E87" s="7" t="s">
        <v>254</v>
      </c>
      <c r="F87" s="14" t="s">
        <v>65</v>
      </c>
    </row>
    <row r="88" spans="1:6" x14ac:dyDescent="0.25">
      <c r="A88" s="17" t="s">
        <v>224</v>
      </c>
      <c r="B88" t="s">
        <v>248</v>
      </c>
      <c r="E88" s="7" t="s">
        <v>254</v>
      </c>
      <c r="F88" s="14" t="s">
        <v>65</v>
      </c>
    </row>
    <row r="89" spans="1:6" x14ac:dyDescent="0.25">
      <c r="A89" s="17" t="s">
        <v>225</v>
      </c>
      <c r="B89" t="s">
        <v>249</v>
      </c>
      <c r="E89" s="7" t="s">
        <v>254</v>
      </c>
      <c r="F89" s="14" t="s">
        <v>65</v>
      </c>
    </row>
    <row r="90" spans="1:6" x14ac:dyDescent="0.25">
      <c r="A90" s="17" t="s">
        <v>226</v>
      </c>
      <c r="B90" t="s">
        <v>250</v>
      </c>
      <c r="E90" s="7" t="s">
        <v>254</v>
      </c>
      <c r="F90" s="14" t="s">
        <v>65</v>
      </c>
    </row>
    <row r="91" spans="1:6" x14ac:dyDescent="0.25">
      <c r="A91" s="17" t="s">
        <v>227</v>
      </c>
      <c r="B91" t="s">
        <v>251</v>
      </c>
      <c r="E91" s="7" t="s">
        <v>254</v>
      </c>
      <c r="F91" s="14" t="s">
        <v>65</v>
      </c>
    </row>
    <row r="92" spans="1:6" x14ac:dyDescent="0.25">
      <c r="A92" s="17" t="s">
        <v>228</v>
      </c>
      <c r="B92" t="s">
        <v>252</v>
      </c>
      <c r="E92" s="7" t="s">
        <v>254</v>
      </c>
      <c r="F92" s="14" t="s">
        <v>65</v>
      </c>
    </row>
    <row r="93" spans="1:6" x14ac:dyDescent="0.25">
      <c r="A93" s="17" t="s">
        <v>229</v>
      </c>
      <c r="B93" t="s">
        <v>253</v>
      </c>
      <c r="E93" s="7" t="s">
        <v>254</v>
      </c>
      <c r="F93" s="14" t="s">
        <v>65</v>
      </c>
    </row>
    <row r="94" spans="1:6" x14ac:dyDescent="0.25">
      <c r="A94" s="17" t="s">
        <v>230</v>
      </c>
      <c r="B94" t="s">
        <v>248</v>
      </c>
      <c r="E94" s="7" t="s">
        <v>254</v>
      </c>
      <c r="F94" s="14" t="s">
        <v>65</v>
      </c>
    </row>
    <row r="95" spans="1:6" x14ac:dyDescent="0.25">
      <c r="A95" s="17" t="s">
        <v>231</v>
      </c>
      <c r="B95" t="s">
        <v>249</v>
      </c>
      <c r="E95" s="7" t="s">
        <v>254</v>
      </c>
      <c r="F95" s="14" t="s">
        <v>65</v>
      </c>
    </row>
    <row r="96" spans="1:6" x14ac:dyDescent="0.25">
      <c r="A96" s="17" t="s">
        <v>232</v>
      </c>
      <c r="B96" t="s">
        <v>250</v>
      </c>
      <c r="E96" s="7" t="s">
        <v>254</v>
      </c>
      <c r="F96" s="14" t="s">
        <v>65</v>
      </c>
    </row>
    <row r="97" spans="1:6" x14ac:dyDescent="0.25">
      <c r="A97" s="17" t="s">
        <v>233</v>
      </c>
      <c r="B97" t="s">
        <v>251</v>
      </c>
      <c r="E97" s="7" t="s">
        <v>254</v>
      </c>
      <c r="F97" s="14" t="s">
        <v>65</v>
      </c>
    </row>
    <row r="98" spans="1:6" x14ac:dyDescent="0.25">
      <c r="A98" s="17" t="s">
        <v>234</v>
      </c>
      <c r="B98" t="s">
        <v>252</v>
      </c>
      <c r="E98" s="7" t="s">
        <v>254</v>
      </c>
      <c r="F98" s="14" t="s">
        <v>65</v>
      </c>
    </row>
    <row r="99" spans="1:6" x14ac:dyDescent="0.25">
      <c r="A99" s="17" t="s">
        <v>235</v>
      </c>
      <c r="B99" t="s">
        <v>253</v>
      </c>
      <c r="E99" s="7" t="s">
        <v>254</v>
      </c>
      <c r="F99" s="14" t="s">
        <v>65</v>
      </c>
    </row>
    <row r="100" spans="1:6" x14ac:dyDescent="0.25">
      <c r="A100" s="17" t="s">
        <v>236</v>
      </c>
      <c r="B100" t="s">
        <v>248</v>
      </c>
      <c r="E100" s="7" t="s">
        <v>254</v>
      </c>
      <c r="F100" s="14" t="s">
        <v>65</v>
      </c>
    </row>
    <row r="101" spans="1:6" x14ac:dyDescent="0.25">
      <c r="A101" s="17" t="s">
        <v>237</v>
      </c>
      <c r="B101" t="s">
        <v>249</v>
      </c>
      <c r="E101" s="7" t="s">
        <v>254</v>
      </c>
      <c r="F101" s="14" t="s">
        <v>65</v>
      </c>
    </row>
    <row r="102" spans="1:6" x14ac:dyDescent="0.25">
      <c r="A102" s="17" t="s">
        <v>238</v>
      </c>
      <c r="B102" t="s">
        <v>250</v>
      </c>
      <c r="E102" s="7" t="s">
        <v>254</v>
      </c>
      <c r="F102" s="14" t="s">
        <v>65</v>
      </c>
    </row>
    <row r="103" spans="1:6" x14ac:dyDescent="0.25">
      <c r="A103" s="17" t="s">
        <v>239</v>
      </c>
      <c r="B103" t="s">
        <v>251</v>
      </c>
      <c r="E103" s="7" t="s">
        <v>254</v>
      </c>
      <c r="F103" s="14" t="s">
        <v>65</v>
      </c>
    </row>
    <row r="104" spans="1:6" x14ac:dyDescent="0.25">
      <c r="A104" s="17" t="s">
        <v>240</v>
      </c>
      <c r="B104" t="s">
        <v>252</v>
      </c>
      <c r="E104" s="7" t="s">
        <v>254</v>
      </c>
      <c r="F104" s="14" t="s">
        <v>65</v>
      </c>
    </row>
    <row r="105" spans="1:6" x14ac:dyDescent="0.25">
      <c r="A105" s="17" t="s">
        <v>241</v>
      </c>
      <c r="B105" t="s">
        <v>253</v>
      </c>
      <c r="E105" s="7" t="s">
        <v>254</v>
      </c>
      <c r="F105" s="14" t="s">
        <v>65</v>
      </c>
    </row>
    <row r="106" spans="1:6" x14ac:dyDescent="0.25">
      <c r="A106" s="17" t="s">
        <v>242</v>
      </c>
      <c r="B106" t="s">
        <v>248</v>
      </c>
      <c r="E106" s="7" t="s">
        <v>254</v>
      </c>
      <c r="F106" s="14" t="s">
        <v>65</v>
      </c>
    </row>
    <row r="107" spans="1:6" x14ac:dyDescent="0.25">
      <c r="A107" s="17" t="s">
        <v>243</v>
      </c>
      <c r="B107" t="s">
        <v>249</v>
      </c>
      <c r="E107" s="7" t="s">
        <v>254</v>
      </c>
      <c r="F107" s="14" t="s">
        <v>65</v>
      </c>
    </row>
    <row r="108" spans="1:6" x14ac:dyDescent="0.25">
      <c r="A108" s="17" t="s">
        <v>244</v>
      </c>
      <c r="B108" t="s">
        <v>250</v>
      </c>
      <c r="E108" s="7" t="s">
        <v>254</v>
      </c>
      <c r="F108" s="14" t="s">
        <v>65</v>
      </c>
    </row>
    <row r="109" spans="1:6" x14ac:dyDescent="0.25">
      <c r="A109" s="17" t="s">
        <v>245</v>
      </c>
      <c r="B109" t="s">
        <v>251</v>
      </c>
      <c r="E109" s="7" t="s">
        <v>254</v>
      </c>
      <c r="F109" s="14" t="s">
        <v>65</v>
      </c>
    </row>
    <row r="110" spans="1:6" x14ac:dyDescent="0.25">
      <c r="A110" s="17" t="s">
        <v>246</v>
      </c>
      <c r="B110" t="s">
        <v>252</v>
      </c>
      <c r="E110" s="7" t="s">
        <v>254</v>
      </c>
      <c r="F110" s="14" t="s">
        <v>65</v>
      </c>
    </row>
    <row r="111" spans="1:6" x14ac:dyDescent="0.25">
      <c r="A111" s="17" t="s">
        <v>247</v>
      </c>
      <c r="B111" t="s">
        <v>253</v>
      </c>
      <c r="E111" s="7" t="s">
        <v>254</v>
      </c>
      <c r="F111" s="14" t="s">
        <v>65</v>
      </c>
    </row>
    <row r="112" spans="1:6" x14ac:dyDescent="0.25">
      <c r="A112" s="11" t="s">
        <v>258</v>
      </c>
      <c r="E112" s="7" t="s">
        <v>267</v>
      </c>
      <c r="F112" s="14" t="s">
        <v>65</v>
      </c>
    </row>
    <row r="113" spans="1:6" x14ac:dyDescent="0.25">
      <c r="A113" s="11" t="s">
        <v>259</v>
      </c>
      <c r="E113" s="7" t="s">
        <v>267</v>
      </c>
      <c r="F113" s="14" t="s">
        <v>65</v>
      </c>
    </row>
    <row r="114" spans="1:6" x14ac:dyDescent="0.25">
      <c r="A114" s="11" t="s">
        <v>260</v>
      </c>
      <c r="E114" s="7" t="s">
        <v>267</v>
      </c>
      <c r="F114" s="14" t="s">
        <v>65</v>
      </c>
    </row>
    <row r="115" spans="1:6" x14ac:dyDescent="0.25">
      <c r="A115" s="11" t="s">
        <v>261</v>
      </c>
      <c r="E115" s="7" t="s">
        <v>267</v>
      </c>
      <c r="F115" s="14" t="s">
        <v>65</v>
      </c>
    </row>
    <row r="116" spans="1:6" x14ac:dyDescent="0.25">
      <c r="A116" s="11" t="s">
        <v>262</v>
      </c>
      <c r="E116" s="7" t="s">
        <v>267</v>
      </c>
      <c r="F116" s="14" t="s">
        <v>65</v>
      </c>
    </row>
    <row r="117" spans="1:6" x14ac:dyDescent="0.25">
      <c r="A117" s="11" t="s">
        <v>263</v>
      </c>
      <c r="E117" s="7" t="s">
        <v>267</v>
      </c>
      <c r="F117" s="14" t="s">
        <v>65</v>
      </c>
    </row>
    <row r="118" spans="1:6" x14ac:dyDescent="0.25">
      <c r="A118" s="11" t="s">
        <v>264</v>
      </c>
      <c r="E118" s="7" t="s">
        <v>267</v>
      </c>
      <c r="F118" s="14" t="s">
        <v>65</v>
      </c>
    </row>
    <row r="119" spans="1:6" x14ac:dyDescent="0.25">
      <c r="A119" s="11" t="s">
        <v>265</v>
      </c>
      <c r="E119" s="7" t="s">
        <v>267</v>
      </c>
      <c r="F119" s="14" t="s">
        <v>65</v>
      </c>
    </row>
    <row r="120" spans="1:6" x14ac:dyDescent="0.25">
      <c r="A120" s="11" t="s">
        <v>266</v>
      </c>
      <c r="E120" s="7" t="s">
        <v>267</v>
      </c>
      <c r="F120" s="14" t="s">
        <v>65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sqref="A1:C5"/>
    </sheetView>
  </sheetViews>
  <sheetFormatPr defaultRowHeight="15" x14ac:dyDescent="0.25"/>
  <cols>
    <col min="1" max="1" width="13.28515625" bestFit="1" customWidth="1"/>
    <col min="2" max="3" width="7.5703125" bestFit="1" customWidth="1"/>
  </cols>
  <sheetData>
    <row r="1" spans="1:3" x14ac:dyDescent="0.25">
      <c r="A1" s="1" t="s">
        <v>0</v>
      </c>
      <c r="B1" s="1" t="s">
        <v>255</v>
      </c>
      <c r="C1" s="1" t="s">
        <v>256</v>
      </c>
    </row>
    <row r="2" spans="1:3" x14ac:dyDescent="0.25">
      <c r="A2" s="15" t="s">
        <v>189</v>
      </c>
      <c r="B2" s="7">
        <v>100</v>
      </c>
    </row>
    <row r="3" spans="1:3" x14ac:dyDescent="0.25">
      <c r="A3" s="15" t="s">
        <v>190</v>
      </c>
      <c r="B3" s="7">
        <v>400</v>
      </c>
    </row>
    <row r="4" spans="1:3" x14ac:dyDescent="0.25">
      <c r="A4" s="15" t="s">
        <v>191</v>
      </c>
      <c r="B4" s="7">
        <v>1600</v>
      </c>
    </row>
    <row r="5" spans="1:3" x14ac:dyDescent="0.25">
      <c r="A5" s="15" t="s">
        <v>192</v>
      </c>
      <c r="B5" s="7">
        <v>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A6" sqref="A6"/>
    </sheetView>
  </sheetViews>
  <sheetFormatPr defaultRowHeight="15" x14ac:dyDescent="0.25"/>
  <cols>
    <col min="1" max="1" width="21" bestFit="1" customWidth="1"/>
    <col min="2" max="2" width="8.42578125" bestFit="1" customWidth="1"/>
  </cols>
  <sheetData>
    <row r="1" spans="1:6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</row>
    <row r="2" spans="1:6" x14ac:dyDescent="0.25">
      <c r="A2" t="s">
        <v>6</v>
      </c>
      <c r="B2" s="8" t="s">
        <v>73</v>
      </c>
      <c r="C2" s="9">
        <v>685</v>
      </c>
      <c r="D2" s="9">
        <v>165</v>
      </c>
      <c r="E2" s="10">
        <v>420</v>
      </c>
      <c r="F2" s="10">
        <v>270</v>
      </c>
    </row>
    <row r="3" spans="1:6" x14ac:dyDescent="0.25">
      <c r="A3" t="s">
        <v>7</v>
      </c>
      <c r="B3" s="8" t="s">
        <v>73</v>
      </c>
      <c r="C3" s="9">
        <v>757</v>
      </c>
      <c r="D3" s="9">
        <v>151</v>
      </c>
      <c r="E3" s="10">
        <v>435</v>
      </c>
      <c r="F3" s="10">
        <v>250</v>
      </c>
    </row>
    <row r="4" spans="1:6" x14ac:dyDescent="0.25">
      <c r="A4" t="s">
        <v>8</v>
      </c>
      <c r="B4" s="8" t="s">
        <v>74</v>
      </c>
      <c r="C4" s="9">
        <v>615</v>
      </c>
      <c r="D4" s="9">
        <v>236</v>
      </c>
      <c r="E4" s="10">
        <v>410</v>
      </c>
      <c r="F4" s="10">
        <v>290</v>
      </c>
    </row>
    <row r="5" spans="1:6" x14ac:dyDescent="0.25">
      <c r="A5" t="s">
        <v>9</v>
      </c>
      <c r="B5" s="8" t="s">
        <v>75</v>
      </c>
      <c r="C5" s="9">
        <v>458</v>
      </c>
      <c r="D5" s="9">
        <v>78</v>
      </c>
      <c r="E5" s="10">
        <v>210</v>
      </c>
      <c r="F5" s="10">
        <v>140</v>
      </c>
    </row>
    <row r="6" spans="1:6" x14ac:dyDescent="0.25">
      <c r="A6" t="s">
        <v>10</v>
      </c>
      <c r="B6" s="8" t="s">
        <v>76</v>
      </c>
      <c r="C6" s="9">
        <v>683</v>
      </c>
      <c r="D6" s="9">
        <v>90</v>
      </c>
      <c r="E6" s="10">
        <v>450</v>
      </c>
      <c r="F6" s="10">
        <v>160</v>
      </c>
    </row>
    <row r="7" spans="1:6" x14ac:dyDescent="0.25">
      <c r="A7" t="s">
        <v>11</v>
      </c>
      <c r="B7" s="8" t="s">
        <v>75</v>
      </c>
      <c r="C7" s="9">
        <v>458</v>
      </c>
      <c r="D7" s="9">
        <v>74</v>
      </c>
      <c r="E7" s="10">
        <v>210</v>
      </c>
      <c r="F7" s="10">
        <v>136</v>
      </c>
    </row>
    <row r="8" spans="1:6" x14ac:dyDescent="0.25">
      <c r="A8" t="s">
        <v>12</v>
      </c>
      <c r="B8" s="8" t="s">
        <v>77</v>
      </c>
      <c r="C8" s="9">
        <v>256</v>
      </c>
      <c r="D8" s="9">
        <v>53</v>
      </c>
      <c r="E8" s="10">
        <v>130</v>
      </c>
      <c r="F8" s="10">
        <v>104</v>
      </c>
    </row>
    <row r="9" spans="1:6" x14ac:dyDescent="0.25">
      <c r="A9" t="s">
        <v>13</v>
      </c>
      <c r="B9" s="8" t="s">
        <v>74</v>
      </c>
      <c r="C9" s="9">
        <v>560</v>
      </c>
      <c r="D9" s="9">
        <v>143</v>
      </c>
      <c r="E9" s="10">
        <v>360</v>
      </c>
      <c r="F9" s="10">
        <v>240</v>
      </c>
    </row>
    <row r="10" spans="1:6" x14ac:dyDescent="0.25">
      <c r="A10" t="s">
        <v>14</v>
      </c>
      <c r="B10" s="8" t="s">
        <v>77</v>
      </c>
      <c r="C10" s="9">
        <v>365</v>
      </c>
      <c r="D10" s="9">
        <v>64</v>
      </c>
      <c r="E10" s="10">
        <v>180</v>
      </c>
      <c r="F10" s="10">
        <v>124</v>
      </c>
    </row>
    <row r="11" spans="1:6" x14ac:dyDescent="0.25">
      <c r="A11" t="s">
        <v>15</v>
      </c>
      <c r="B11" s="8" t="s">
        <v>77</v>
      </c>
      <c r="C11" s="9">
        <v>256</v>
      </c>
      <c r="D11" s="9">
        <v>53</v>
      </c>
      <c r="E11" s="10">
        <v>130</v>
      </c>
      <c r="F11" s="10">
        <v>104</v>
      </c>
    </row>
    <row r="12" spans="1:6" x14ac:dyDescent="0.25">
      <c r="A12" t="s">
        <v>16</v>
      </c>
      <c r="B12" s="8" t="s">
        <v>76</v>
      </c>
      <c r="C12" s="9">
        <v>365</v>
      </c>
      <c r="D12" s="9">
        <v>64</v>
      </c>
      <c r="E12" s="10">
        <v>190</v>
      </c>
      <c r="F12" s="10">
        <v>114</v>
      </c>
    </row>
    <row r="13" spans="1:6" x14ac:dyDescent="0.25">
      <c r="A13" t="s">
        <v>17</v>
      </c>
      <c r="B13" s="8" t="s">
        <v>75</v>
      </c>
      <c r="C13" s="9">
        <v>627</v>
      </c>
      <c r="D13" s="9">
        <v>134</v>
      </c>
      <c r="E13" s="10">
        <v>380</v>
      </c>
      <c r="F13" s="10">
        <v>230</v>
      </c>
    </row>
    <row r="14" spans="1:6" x14ac:dyDescent="0.25">
      <c r="A14" t="s">
        <v>18</v>
      </c>
      <c r="B14" s="8" t="s">
        <v>75</v>
      </c>
      <c r="C14" s="9">
        <v>560</v>
      </c>
      <c r="D14" s="9">
        <v>140</v>
      </c>
      <c r="E14" s="10">
        <v>360</v>
      </c>
      <c r="F14" s="10">
        <v>210</v>
      </c>
    </row>
    <row r="15" spans="1:6" x14ac:dyDescent="0.25">
      <c r="A15" t="s">
        <v>19</v>
      </c>
      <c r="B15" s="8" t="s">
        <v>78</v>
      </c>
      <c r="C15" s="9">
        <v>683</v>
      </c>
      <c r="D15" s="9">
        <v>110</v>
      </c>
      <c r="E15" s="10">
        <v>395</v>
      </c>
      <c r="F15" s="10">
        <v>210</v>
      </c>
    </row>
    <row r="16" spans="1:6" x14ac:dyDescent="0.25">
      <c r="A16" t="s">
        <v>310</v>
      </c>
      <c r="B16" s="8" t="s">
        <v>73</v>
      </c>
      <c r="C16" s="9">
        <v>685</v>
      </c>
      <c r="D16" s="9">
        <v>165</v>
      </c>
      <c r="E16" s="10">
        <v>420</v>
      </c>
      <c r="F16" s="10">
        <v>270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7"/>
  <sheetViews>
    <sheetView workbookViewId="0">
      <selection activeCell="C1" sqref="C1"/>
    </sheetView>
  </sheetViews>
  <sheetFormatPr defaultRowHeight="15" x14ac:dyDescent="0.25"/>
  <cols>
    <col min="1" max="1" width="19.42578125" bestFit="1" customWidth="1"/>
    <col min="2" max="2" width="10.5703125" bestFit="1" customWidth="1"/>
    <col min="3" max="3" width="9.42578125" bestFit="1" customWidth="1"/>
  </cols>
  <sheetData>
    <row r="1" spans="1:3" x14ac:dyDescent="0.25">
      <c r="A1" s="1" t="s">
        <v>0</v>
      </c>
      <c r="B1" s="18" t="s">
        <v>268</v>
      </c>
      <c r="C1" s="18" t="s">
        <v>269</v>
      </c>
    </row>
    <row r="2" spans="1:3" x14ac:dyDescent="0.25">
      <c r="A2" s="17" t="s">
        <v>212</v>
      </c>
      <c r="B2" s="8" t="s">
        <v>270</v>
      </c>
      <c r="C2" s="8" t="s">
        <v>271</v>
      </c>
    </row>
    <row r="3" spans="1:3" x14ac:dyDescent="0.25">
      <c r="A3" s="17" t="s">
        <v>213</v>
      </c>
      <c r="B3" s="8" t="s">
        <v>270</v>
      </c>
      <c r="C3" s="8" t="s">
        <v>272</v>
      </c>
    </row>
    <row r="4" spans="1:3" x14ac:dyDescent="0.25">
      <c r="A4" s="17" t="s">
        <v>214</v>
      </c>
      <c r="B4" s="8" t="s">
        <v>270</v>
      </c>
      <c r="C4" s="8" t="s">
        <v>273</v>
      </c>
    </row>
    <row r="5" spans="1:3" x14ac:dyDescent="0.25">
      <c r="A5" s="17" t="s">
        <v>215</v>
      </c>
      <c r="B5" s="8" t="s">
        <v>270</v>
      </c>
      <c r="C5" s="8" t="s">
        <v>274</v>
      </c>
    </row>
    <row r="6" spans="1:3" x14ac:dyDescent="0.25">
      <c r="A6" s="17" t="s">
        <v>216</v>
      </c>
      <c r="B6" s="8" t="s">
        <v>270</v>
      </c>
      <c r="C6" s="8" t="s">
        <v>275</v>
      </c>
    </row>
    <row r="7" spans="1:3" x14ac:dyDescent="0.25">
      <c r="A7" s="17" t="s">
        <v>217</v>
      </c>
      <c r="B7" s="8" t="s">
        <v>270</v>
      </c>
      <c r="C7" s="8" t="s">
        <v>276</v>
      </c>
    </row>
    <row r="8" spans="1:3" x14ac:dyDescent="0.25">
      <c r="A8" s="17" t="s">
        <v>218</v>
      </c>
      <c r="B8" s="8" t="s">
        <v>277</v>
      </c>
      <c r="C8" s="8" t="s">
        <v>271</v>
      </c>
    </row>
    <row r="9" spans="1:3" x14ac:dyDescent="0.25">
      <c r="A9" s="17" t="s">
        <v>219</v>
      </c>
      <c r="B9" s="8" t="s">
        <v>277</v>
      </c>
      <c r="C9" s="8" t="s">
        <v>272</v>
      </c>
    </row>
    <row r="10" spans="1:3" x14ac:dyDescent="0.25">
      <c r="A10" s="17" t="s">
        <v>220</v>
      </c>
      <c r="B10" s="8" t="s">
        <v>277</v>
      </c>
      <c r="C10" s="8" t="s">
        <v>273</v>
      </c>
    </row>
    <row r="11" spans="1:3" x14ac:dyDescent="0.25">
      <c r="A11" s="17" t="s">
        <v>221</v>
      </c>
      <c r="B11" s="8" t="s">
        <v>277</v>
      </c>
      <c r="C11" s="8" t="s">
        <v>274</v>
      </c>
    </row>
    <row r="12" spans="1:3" x14ac:dyDescent="0.25">
      <c r="A12" s="17" t="s">
        <v>222</v>
      </c>
      <c r="B12" s="8" t="s">
        <v>277</v>
      </c>
      <c r="C12" s="8" t="s">
        <v>275</v>
      </c>
    </row>
    <row r="13" spans="1:3" x14ac:dyDescent="0.25">
      <c r="A13" s="17" t="s">
        <v>223</v>
      </c>
      <c r="B13" s="8" t="s">
        <v>277</v>
      </c>
      <c r="C13" s="8" t="s">
        <v>276</v>
      </c>
    </row>
    <row r="14" spans="1:3" x14ac:dyDescent="0.25">
      <c r="A14" s="17" t="s">
        <v>224</v>
      </c>
      <c r="B14" s="8" t="s">
        <v>278</v>
      </c>
      <c r="C14" s="8" t="s">
        <v>271</v>
      </c>
    </row>
    <row r="15" spans="1:3" x14ac:dyDescent="0.25">
      <c r="A15" s="17" t="s">
        <v>225</v>
      </c>
      <c r="B15" s="8" t="s">
        <v>278</v>
      </c>
      <c r="C15" s="8" t="s">
        <v>272</v>
      </c>
    </row>
    <row r="16" spans="1:3" x14ac:dyDescent="0.25">
      <c r="A16" s="17" t="s">
        <v>226</v>
      </c>
      <c r="B16" s="8" t="s">
        <v>278</v>
      </c>
      <c r="C16" s="8" t="s">
        <v>273</v>
      </c>
    </row>
    <row r="17" spans="1:3" x14ac:dyDescent="0.25">
      <c r="A17" s="17" t="s">
        <v>227</v>
      </c>
      <c r="B17" s="8" t="s">
        <v>278</v>
      </c>
      <c r="C17" s="8" t="s">
        <v>274</v>
      </c>
    </row>
    <row r="18" spans="1:3" x14ac:dyDescent="0.25">
      <c r="A18" s="17" t="s">
        <v>228</v>
      </c>
      <c r="B18" s="8" t="s">
        <v>278</v>
      </c>
      <c r="C18" s="8" t="s">
        <v>275</v>
      </c>
    </row>
    <row r="19" spans="1:3" x14ac:dyDescent="0.25">
      <c r="A19" s="17" t="s">
        <v>229</v>
      </c>
      <c r="B19" s="8" t="s">
        <v>278</v>
      </c>
      <c r="C19" s="8" t="s">
        <v>276</v>
      </c>
    </row>
    <row r="20" spans="1:3" x14ac:dyDescent="0.25">
      <c r="A20" s="17" t="s">
        <v>230</v>
      </c>
      <c r="B20" s="8" t="s">
        <v>279</v>
      </c>
      <c r="C20" s="8" t="s">
        <v>271</v>
      </c>
    </row>
    <row r="21" spans="1:3" x14ac:dyDescent="0.25">
      <c r="A21" s="17" t="s">
        <v>231</v>
      </c>
      <c r="B21" s="8" t="s">
        <v>279</v>
      </c>
      <c r="C21" s="8" t="s">
        <v>272</v>
      </c>
    </row>
    <row r="22" spans="1:3" x14ac:dyDescent="0.25">
      <c r="A22" s="17" t="s">
        <v>232</v>
      </c>
      <c r="B22" s="8" t="s">
        <v>279</v>
      </c>
      <c r="C22" s="8" t="s">
        <v>273</v>
      </c>
    </row>
    <row r="23" spans="1:3" x14ac:dyDescent="0.25">
      <c r="A23" s="17" t="s">
        <v>233</v>
      </c>
      <c r="B23" s="8" t="s">
        <v>279</v>
      </c>
      <c r="C23" s="8" t="s">
        <v>274</v>
      </c>
    </row>
    <row r="24" spans="1:3" x14ac:dyDescent="0.25">
      <c r="A24" s="17" t="s">
        <v>234</v>
      </c>
      <c r="B24" s="8" t="s">
        <v>279</v>
      </c>
      <c r="C24" s="8" t="s">
        <v>275</v>
      </c>
    </row>
    <row r="25" spans="1:3" x14ac:dyDescent="0.25">
      <c r="A25" s="17" t="s">
        <v>235</v>
      </c>
      <c r="B25" s="8" t="s">
        <v>279</v>
      </c>
      <c r="C25" s="8" t="s">
        <v>276</v>
      </c>
    </row>
    <row r="26" spans="1:3" x14ac:dyDescent="0.25">
      <c r="A26" s="17" t="s">
        <v>236</v>
      </c>
      <c r="B26" s="8" t="s">
        <v>280</v>
      </c>
      <c r="C26" s="8" t="s">
        <v>271</v>
      </c>
    </row>
    <row r="27" spans="1:3" x14ac:dyDescent="0.25">
      <c r="A27" s="17" t="s">
        <v>237</v>
      </c>
      <c r="B27" s="8" t="s">
        <v>280</v>
      </c>
      <c r="C27" s="8" t="s">
        <v>272</v>
      </c>
    </row>
    <row r="28" spans="1:3" x14ac:dyDescent="0.25">
      <c r="A28" s="17" t="s">
        <v>238</v>
      </c>
      <c r="B28" s="8" t="s">
        <v>280</v>
      </c>
      <c r="C28" s="8" t="s">
        <v>273</v>
      </c>
    </row>
    <row r="29" spans="1:3" x14ac:dyDescent="0.25">
      <c r="A29" s="17" t="s">
        <v>239</v>
      </c>
      <c r="B29" s="8" t="s">
        <v>280</v>
      </c>
      <c r="C29" s="8" t="s">
        <v>274</v>
      </c>
    </row>
    <row r="30" spans="1:3" x14ac:dyDescent="0.25">
      <c r="A30" s="17" t="s">
        <v>240</v>
      </c>
      <c r="B30" s="8" t="s">
        <v>280</v>
      </c>
      <c r="C30" s="8" t="s">
        <v>275</v>
      </c>
    </row>
    <row r="31" spans="1:3" x14ac:dyDescent="0.25">
      <c r="A31" s="17" t="s">
        <v>241</v>
      </c>
      <c r="B31" s="8" t="s">
        <v>280</v>
      </c>
      <c r="C31" s="8" t="s">
        <v>276</v>
      </c>
    </row>
    <row r="32" spans="1:3" x14ac:dyDescent="0.25">
      <c r="A32" s="17" t="s">
        <v>242</v>
      </c>
      <c r="B32" s="8" t="s">
        <v>281</v>
      </c>
      <c r="C32" s="8" t="s">
        <v>271</v>
      </c>
    </row>
    <row r="33" spans="1:3" x14ac:dyDescent="0.25">
      <c r="A33" s="17" t="s">
        <v>243</v>
      </c>
      <c r="B33" s="8" t="s">
        <v>281</v>
      </c>
      <c r="C33" s="8" t="s">
        <v>272</v>
      </c>
    </row>
    <row r="34" spans="1:3" x14ac:dyDescent="0.25">
      <c r="A34" s="17" t="s">
        <v>244</v>
      </c>
      <c r="B34" s="8" t="s">
        <v>281</v>
      </c>
      <c r="C34" s="8" t="s">
        <v>273</v>
      </c>
    </row>
    <row r="35" spans="1:3" x14ac:dyDescent="0.25">
      <c r="A35" s="17" t="s">
        <v>245</v>
      </c>
      <c r="B35" s="8" t="s">
        <v>281</v>
      </c>
      <c r="C35" s="8" t="s">
        <v>274</v>
      </c>
    </row>
    <row r="36" spans="1:3" x14ac:dyDescent="0.25">
      <c r="A36" s="17" t="s">
        <v>246</v>
      </c>
      <c r="B36" s="8" t="s">
        <v>281</v>
      </c>
      <c r="C36" s="8" t="s">
        <v>275</v>
      </c>
    </row>
    <row r="37" spans="1:3" x14ac:dyDescent="0.25">
      <c r="A37" s="17" t="s">
        <v>247</v>
      </c>
      <c r="B37" s="8" t="s">
        <v>281</v>
      </c>
      <c r="C37" s="8" t="s">
        <v>276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30" zoomScaleNormal="130" workbookViewId="0">
      <selection activeCell="A13" sqref="A13"/>
    </sheetView>
  </sheetViews>
  <sheetFormatPr defaultRowHeight="15" x14ac:dyDescent="0.25"/>
  <cols>
    <col min="1" max="1" width="19" bestFit="1" customWidth="1"/>
    <col min="2" max="2" width="31.28515625" bestFit="1" customWidth="1"/>
    <col min="4" max="4" width="8.42578125" bestFit="1" customWidth="1"/>
    <col min="5" max="5" width="21.7109375" bestFit="1" customWidth="1"/>
    <col min="6" max="6" width="22.28515625" bestFit="1" customWidth="1"/>
    <col min="7" max="7" width="18.5703125" customWidth="1"/>
    <col min="8" max="8" width="16" customWidth="1"/>
  </cols>
  <sheetData>
    <row r="1" spans="1:7" x14ac:dyDescent="0.25">
      <c r="A1" s="18" t="s">
        <v>0</v>
      </c>
      <c r="B1" s="18" t="s">
        <v>1</v>
      </c>
      <c r="C1" s="18" t="s">
        <v>64</v>
      </c>
      <c r="D1" s="18" t="s">
        <v>68</v>
      </c>
      <c r="E1" s="18" t="s">
        <v>347</v>
      </c>
      <c r="F1" s="18" t="s">
        <v>348</v>
      </c>
      <c r="G1" s="18" t="s">
        <v>349</v>
      </c>
    </row>
    <row r="2" spans="1:7" x14ac:dyDescent="0.25">
      <c r="A2" t="s">
        <v>282</v>
      </c>
      <c r="B2" t="s">
        <v>200</v>
      </c>
      <c r="C2" s="2" t="s">
        <v>283</v>
      </c>
      <c r="D2" s="8" t="s">
        <v>73</v>
      </c>
      <c r="E2" s="8" t="str">
        <f>A2&amp;"_B"</f>
        <v>SunWukong_B</v>
      </c>
      <c r="F2" s="8" t="str">
        <f>A2&amp;"_M"</f>
        <v>SunWukong_M</v>
      </c>
      <c r="G2" s="8" t="str">
        <f>A2&amp;"_U"</f>
        <v>SunWukong_U</v>
      </c>
    </row>
    <row r="3" spans="1:7" x14ac:dyDescent="0.25">
      <c r="A3" t="s">
        <v>284</v>
      </c>
      <c r="B3" t="s">
        <v>202</v>
      </c>
      <c r="C3" s="19" t="s">
        <v>285</v>
      </c>
      <c r="D3" s="8" t="s">
        <v>75</v>
      </c>
      <c r="E3" s="8" t="str">
        <f t="shared" ref="E3:E17" si="0">A3&amp;"_B"</f>
        <v>TangSanZang_B</v>
      </c>
      <c r="F3" s="8" t="str">
        <f t="shared" ref="F3:F17" si="1">A3&amp;"_M"</f>
        <v>TangSanZang_M</v>
      </c>
      <c r="G3" s="8" t="str">
        <f t="shared" ref="G3:G17" si="2">A3&amp;"_U"</f>
        <v>TangSanZang_U</v>
      </c>
    </row>
    <row r="4" spans="1:7" x14ac:dyDescent="0.25">
      <c r="A4" t="s">
        <v>286</v>
      </c>
      <c r="B4" t="s">
        <v>203</v>
      </c>
      <c r="C4" s="16" t="s">
        <v>287</v>
      </c>
      <c r="D4" s="8" t="s">
        <v>76</v>
      </c>
      <c r="E4" s="8" t="str">
        <f t="shared" si="0"/>
        <v>ZhuBaJie_B</v>
      </c>
      <c r="F4" s="8" t="str">
        <f t="shared" si="1"/>
        <v>ZhuBaJie_M</v>
      </c>
      <c r="G4" s="8" t="str">
        <f t="shared" si="2"/>
        <v>ZhuBaJie_U</v>
      </c>
    </row>
    <row r="5" spans="1:7" x14ac:dyDescent="0.25">
      <c r="A5" t="s">
        <v>288</v>
      </c>
      <c r="B5" t="s">
        <v>204</v>
      </c>
      <c r="C5" s="3" t="s">
        <v>289</v>
      </c>
      <c r="D5" s="8" t="s">
        <v>78</v>
      </c>
      <c r="E5" s="8" t="str">
        <f t="shared" si="0"/>
        <v>ShaWujing_B</v>
      </c>
      <c r="F5" s="8" t="str">
        <f t="shared" si="1"/>
        <v>ShaWujing_M</v>
      </c>
      <c r="G5" s="8" t="str">
        <f t="shared" si="2"/>
        <v>ShaWujing_U</v>
      </c>
    </row>
    <row r="6" spans="1:7" x14ac:dyDescent="0.25">
      <c r="A6" s="25" t="s">
        <v>290</v>
      </c>
      <c r="B6" s="25" t="s">
        <v>205</v>
      </c>
      <c r="C6" s="26" t="s">
        <v>289</v>
      </c>
      <c r="D6" s="27" t="s">
        <v>78</v>
      </c>
      <c r="E6" s="8" t="str">
        <f t="shared" si="0"/>
        <v>DragonKing_B</v>
      </c>
      <c r="F6" s="8" t="str">
        <f t="shared" si="1"/>
        <v>DragonKing_M</v>
      </c>
      <c r="G6" s="8" t="str">
        <f t="shared" si="2"/>
        <v>DragonKing_U</v>
      </c>
    </row>
    <row r="7" spans="1:7" x14ac:dyDescent="0.25">
      <c r="A7" t="s">
        <v>291</v>
      </c>
      <c r="B7" t="s">
        <v>206</v>
      </c>
      <c r="C7" s="16" t="s">
        <v>287</v>
      </c>
      <c r="D7" s="8" t="s">
        <v>74</v>
      </c>
      <c r="E7" s="8" t="str">
        <f t="shared" si="0"/>
        <v>ThirdPrinceNezha_B</v>
      </c>
      <c r="F7" s="8" t="str">
        <f t="shared" si="1"/>
        <v>ThirdPrinceNezha_M</v>
      </c>
      <c r="G7" s="8" t="str">
        <f t="shared" si="2"/>
        <v>ThirdPrinceNezha_U</v>
      </c>
    </row>
    <row r="8" spans="1:7" x14ac:dyDescent="0.25">
      <c r="A8" t="s">
        <v>292</v>
      </c>
      <c r="B8" t="s">
        <v>207</v>
      </c>
      <c r="C8" s="3" t="s">
        <v>289</v>
      </c>
      <c r="D8" s="8" t="s">
        <v>293</v>
      </c>
      <c r="E8" s="8" t="str">
        <f t="shared" si="0"/>
        <v>LittleWhiteDragon_B</v>
      </c>
      <c r="F8" s="8" t="str">
        <f t="shared" si="1"/>
        <v>LittleWhiteDragon_M</v>
      </c>
      <c r="G8" s="8" t="str">
        <f t="shared" si="2"/>
        <v>LittleWhiteDragon_U</v>
      </c>
    </row>
    <row r="9" spans="1:7" x14ac:dyDescent="0.25">
      <c r="A9" t="s">
        <v>294</v>
      </c>
      <c r="B9" t="s">
        <v>208</v>
      </c>
      <c r="C9" s="16" t="s">
        <v>287</v>
      </c>
      <c r="D9" s="8" t="s">
        <v>76</v>
      </c>
      <c r="E9" s="8" t="str">
        <f t="shared" si="0"/>
        <v>BullDemonKing_B</v>
      </c>
      <c r="F9" s="8" t="str">
        <f t="shared" si="1"/>
        <v>BullDemonKing_M</v>
      </c>
      <c r="G9" s="8" t="str">
        <f t="shared" si="2"/>
        <v>BullDemonKing_U</v>
      </c>
    </row>
    <row r="10" spans="1:7" x14ac:dyDescent="0.25">
      <c r="A10" s="25" t="s">
        <v>295</v>
      </c>
      <c r="B10" s="25" t="s">
        <v>209</v>
      </c>
      <c r="C10" s="26" t="s">
        <v>283</v>
      </c>
      <c r="D10" s="27" t="s">
        <v>73</v>
      </c>
      <c r="E10" s="8" t="str">
        <f t="shared" si="0"/>
        <v>ErlangShen_B</v>
      </c>
      <c r="F10" s="8" t="str">
        <f t="shared" si="1"/>
        <v>ErlangShen_M</v>
      </c>
      <c r="G10" s="8" t="str">
        <f t="shared" si="2"/>
        <v>ErlangShen_U</v>
      </c>
    </row>
    <row r="11" spans="1:7" x14ac:dyDescent="0.25">
      <c r="A11" s="25" t="s">
        <v>296</v>
      </c>
      <c r="B11" s="25" t="s">
        <v>210</v>
      </c>
      <c r="C11" s="26" t="s">
        <v>283</v>
      </c>
      <c r="D11" s="27" t="s">
        <v>75</v>
      </c>
      <c r="E11" s="8" t="str">
        <f t="shared" si="0"/>
        <v>GuanyinBodhisattva_B</v>
      </c>
      <c r="F11" s="8" t="str">
        <f t="shared" si="1"/>
        <v>GuanyinBodhisattva_M</v>
      </c>
      <c r="G11" s="8" t="str">
        <f t="shared" si="2"/>
        <v>GuanyinBodhisattva_U</v>
      </c>
    </row>
    <row r="12" spans="1:7" x14ac:dyDescent="0.25">
      <c r="A12" s="13" t="s">
        <v>404</v>
      </c>
      <c r="B12" t="s">
        <v>334</v>
      </c>
      <c r="C12" s="19" t="s">
        <v>285</v>
      </c>
      <c r="D12" s="8" t="s">
        <v>75</v>
      </c>
      <c r="E12" s="8" t="str">
        <f>A12&amp;"_B"</f>
        <v>VanguardTiger_B</v>
      </c>
      <c r="F12" s="29" t="s">
        <v>405</v>
      </c>
      <c r="G12" s="29" t="s">
        <v>405</v>
      </c>
    </row>
    <row r="13" spans="1:7" x14ac:dyDescent="0.25">
      <c r="A13" s="24" t="s">
        <v>314</v>
      </c>
      <c r="B13" t="s">
        <v>315</v>
      </c>
      <c r="C13" s="2" t="s">
        <v>283</v>
      </c>
      <c r="D13" s="8" t="s">
        <v>74</v>
      </c>
      <c r="E13" s="8" t="str">
        <f t="shared" si="0"/>
        <v>TheBoySage_B</v>
      </c>
      <c r="F13" s="8" t="str">
        <f t="shared" si="1"/>
        <v>TheBoySage_M</v>
      </c>
      <c r="G13" s="8" t="str">
        <f t="shared" si="2"/>
        <v>TheBoySage_U</v>
      </c>
    </row>
    <row r="14" spans="1:7" x14ac:dyDescent="0.25">
      <c r="A14" s="24" t="s">
        <v>316</v>
      </c>
      <c r="B14" t="s">
        <v>320</v>
      </c>
      <c r="C14" s="16" t="s">
        <v>287</v>
      </c>
      <c r="D14" s="8" t="s">
        <v>74</v>
      </c>
      <c r="E14" s="8" t="str">
        <f t="shared" si="0"/>
        <v>GoldHornKing_B</v>
      </c>
      <c r="F14" s="8" t="str">
        <f t="shared" si="1"/>
        <v>GoldHornKing_M</v>
      </c>
      <c r="G14" s="8" t="str">
        <f t="shared" si="2"/>
        <v>GoldHornKing_U</v>
      </c>
    </row>
    <row r="15" spans="1:7" x14ac:dyDescent="0.25">
      <c r="A15" s="24" t="s">
        <v>317</v>
      </c>
      <c r="B15" t="s">
        <v>321</v>
      </c>
      <c r="C15" s="16" t="s">
        <v>287</v>
      </c>
      <c r="D15" s="8" t="s">
        <v>74</v>
      </c>
      <c r="E15" s="8" t="str">
        <f t="shared" si="0"/>
        <v>SilverHornKing_B</v>
      </c>
      <c r="F15" s="8" t="str">
        <f t="shared" si="1"/>
        <v>SilverHornKing_M</v>
      </c>
      <c r="G15" s="8" t="str">
        <f t="shared" si="2"/>
        <v>SilverHornKing_U</v>
      </c>
    </row>
    <row r="16" spans="1:7" x14ac:dyDescent="0.25">
      <c r="A16" s="24" t="s">
        <v>318</v>
      </c>
      <c r="B16" t="s">
        <v>322</v>
      </c>
      <c r="C16" s="2" t="s">
        <v>283</v>
      </c>
      <c r="D16" s="8" t="s">
        <v>74</v>
      </c>
      <c r="E16" s="8" t="str">
        <f t="shared" si="0"/>
        <v>YellowWindMonster_B</v>
      </c>
      <c r="F16" s="8" t="str">
        <f t="shared" si="1"/>
        <v>YellowWindMonster_M</v>
      </c>
      <c r="G16" s="8" t="str">
        <f t="shared" si="2"/>
        <v>YellowWindMonster_U</v>
      </c>
    </row>
    <row r="17" spans="1:7" x14ac:dyDescent="0.25">
      <c r="A17" s="24" t="s">
        <v>319</v>
      </c>
      <c r="B17" t="s">
        <v>323</v>
      </c>
      <c r="C17" s="16" t="s">
        <v>287</v>
      </c>
      <c r="D17" s="8" t="s">
        <v>74</v>
      </c>
      <c r="E17" s="8" t="str">
        <f t="shared" si="0"/>
        <v>GoldfishDemon_B</v>
      </c>
      <c r="F17" s="8" t="str">
        <f t="shared" si="1"/>
        <v>GoldfishDemon_M</v>
      </c>
      <c r="G17" s="8" t="str">
        <f t="shared" si="2"/>
        <v>GoldfishDemon_U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8"/>
  <sheetViews>
    <sheetView tabSelected="1" topLeftCell="A14" zoomScaleNormal="100" workbookViewId="0">
      <selection activeCell="A34" sqref="A34:XFD34"/>
    </sheetView>
  </sheetViews>
  <sheetFormatPr defaultRowHeight="15" x14ac:dyDescent="0.25"/>
  <cols>
    <col min="1" max="1" width="24.85546875" customWidth="1"/>
    <col min="2" max="2" width="29" customWidth="1"/>
    <col min="3" max="3" width="24.85546875" customWidth="1"/>
    <col min="4" max="4" width="17.85546875" customWidth="1"/>
    <col min="5" max="5" width="17.7109375" customWidth="1"/>
    <col min="6" max="6" width="23.42578125" customWidth="1"/>
    <col min="7" max="7" width="16.85546875" customWidth="1"/>
    <col min="8" max="8" width="16.5703125" customWidth="1"/>
    <col min="9" max="9" width="15.140625" bestFit="1" customWidth="1"/>
    <col min="10" max="10" width="24.28515625" bestFit="1" customWidth="1"/>
  </cols>
  <sheetData>
    <row r="1" spans="1:10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353</v>
      </c>
      <c r="F1" s="18" t="s">
        <v>403</v>
      </c>
      <c r="G1" s="18" t="s">
        <v>406</v>
      </c>
      <c r="H1" s="18" t="s">
        <v>407</v>
      </c>
      <c r="I1" s="18" t="s">
        <v>443</v>
      </c>
      <c r="J1" s="18" t="s">
        <v>451</v>
      </c>
    </row>
    <row r="2" spans="1:10" x14ac:dyDescent="0.25">
      <c r="A2" t="s">
        <v>354</v>
      </c>
      <c r="B2" t="str">
        <f>A2&amp;"_Name"</f>
        <v>SunWukong_B_Name</v>
      </c>
      <c r="C2" t="str">
        <f>A2&amp;"_Des"</f>
        <v>SunWukong_B_Des</v>
      </c>
      <c r="D2" s="8" t="s">
        <v>335</v>
      </c>
      <c r="E2" s="8">
        <v>1</v>
      </c>
      <c r="F2" s="8">
        <v>0</v>
      </c>
      <c r="G2" s="8">
        <v>100</v>
      </c>
      <c r="H2" s="8" t="s">
        <v>408</v>
      </c>
      <c r="I2" s="7" t="s">
        <v>350</v>
      </c>
      <c r="J2" s="32" t="s">
        <v>452</v>
      </c>
    </row>
    <row r="3" spans="1:10" x14ac:dyDescent="0.25">
      <c r="A3" t="s">
        <v>355</v>
      </c>
      <c r="B3" t="str">
        <f t="shared" ref="B3:B48" si="0">A3&amp;"_Name"</f>
        <v>SunWukong_M_Name</v>
      </c>
      <c r="C3" t="str">
        <f t="shared" ref="C3:C48" si="1">A3&amp;"_Des"</f>
        <v>SunWukong_M_Des</v>
      </c>
      <c r="D3" s="8" t="s">
        <v>337</v>
      </c>
      <c r="E3" s="8">
        <v>1</v>
      </c>
      <c r="F3" s="8">
        <v>3</v>
      </c>
      <c r="G3" s="8">
        <v>100</v>
      </c>
      <c r="H3" s="8" t="s">
        <v>410</v>
      </c>
      <c r="I3" s="7" t="s">
        <v>350</v>
      </c>
      <c r="J3" s="32" t="s">
        <v>455</v>
      </c>
    </row>
    <row r="4" spans="1:10" x14ac:dyDescent="0.25">
      <c r="A4" t="s">
        <v>356</v>
      </c>
      <c r="B4" t="str">
        <f t="shared" si="0"/>
        <v>SunWukong_U_Name</v>
      </c>
      <c r="C4" t="str">
        <f t="shared" si="1"/>
        <v>SunWukong_U_Des</v>
      </c>
      <c r="D4" s="7" t="s">
        <v>343</v>
      </c>
      <c r="E4" s="8" t="s">
        <v>402</v>
      </c>
      <c r="F4" s="8">
        <v>4</v>
      </c>
      <c r="G4" s="8">
        <v>100</v>
      </c>
      <c r="H4" s="8" t="s">
        <v>408</v>
      </c>
      <c r="I4" s="7" t="s">
        <v>350</v>
      </c>
      <c r="J4" s="32" t="s">
        <v>454</v>
      </c>
    </row>
    <row r="5" spans="1:10" x14ac:dyDescent="0.25">
      <c r="A5" s="12" t="s">
        <v>357</v>
      </c>
      <c r="B5" t="str">
        <f t="shared" si="0"/>
        <v>TangSanZang_B_Name</v>
      </c>
      <c r="C5" t="str">
        <f t="shared" si="1"/>
        <v>TangSanZang_B_Des</v>
      </c>
      <c r="D5" s="9" t="s">
        <v>336</v>
      </c>
      <c r="E5" s="8">
        <v>1</v>
      </c>
      <c r="F5" s="8">
        <v>0</v>
      </c>
      <c r="G5" s="8">
        <v>100</v>
      </c>
      <c r="H5" s="8" t="s">
        <v>408</v>
      </c>
      <c r="I5" s="7" t="s">
        <v>350</v>
      </c>
      <c r="J5" s="32" t="s">
        <v>453</v>
      </c>
    </row>
    <row r="6" spans="1:10" x14ac:dyDescent="0.25">
      <c r="A6" s="12" t="s">
        <v>358</v>
      </c>
      <c r="B6" t="str">
        <f t="shared" si="0"/>
        <v>TangSanZang_M_Name</v>
      </c>
      <c r="C6" t="str">
        <f t="shared" si="1"/>
        <v>TangSanZang_M_Des</v>
      </c>
      <c r="D6" s="9" t="s">
        <v>338</v>
      </c>
      <c r="E6" s="8" t="s">
        <v>401</v>
      </c>
      <c r="F6" s="8">
        <v>3</v>
      </c>
      <c r="G6" s="8">
        <v>0</v>
      </c>
      <c r="H6" s="8" t="s">
        <v>409</v>
      </c>
      <c r="I6" s="7" t="s">
        <v>350</v>
      </c>
      <c r="J6" s="32" t="s">
        <v>457</v>
      </c>
    </row>
    <row r="7" spans="1:10" x14ac:dyDescent="0.25">
      <c r="A7" s="12" t="s">
        <v>359</v>
      </c>
      <c r="B7" t="str">
        <f t="shared" si="0"/>
        <v>TangSanZang_U_Name</v>
      </c>
      <c r="C7" t="str">
        <f t="shared" si="1"/>
        <v>TangSanZang_U_Des</v>
      </c>
      <c r="D7" s="2" t="s">
        <v>343</v>
      </c>
      <c r="E7" s="8" t="s">
        <v>402</v>
      </c>
      <c r="F7" s="8">
        <v>4</v>
      </c>
      <c r="G7" s="8">
        <v>100</v>
      </c>
      <c r="H7" s="8" t="s">
        <v>408</v>
      </c>
      <c r="I7" t="s">
        <v>416</v>
      </c>
      <c r="J7" s="32" t="s">
        <v>461</v>
      </c>
    </row>
    <row r="8" spans="1:10" x14ac:dyDescent="0.25">
      <c r="A8" t="s">
        <v>360</v>
      </c>
      <c r="B8" t="str">
        <f t="shared" si="0"/>
        <v>ZhuBaJie_B_Name</v>
      </c>
      <c r="C8" t="str">
        <f t="shared" si="1"/>
        <v>ZhuBaJie_B_Des</v>
      </c>
      <c r="D8" s="8" t="s">
        <v>335</v>
      </c>
      <c r="E8" s="8">
        <v>1</v>
      </c>
      <c r="F8" s="8">
        <v>0</v>
      </c>
      <c r="G8" s="8">
        <v>100</v>
      </c>
      <c r="H8" s="8" t="s">
        <v>408</v>
      </c>
      <c r="I8" s="7" t="s">
        <v>350</v>
      </c>
      <c r="J8" s="32" t="s">
        <v>463</v>
      </c>
    </row>
    <row r="9" spans="1:10" x14ac:dyDescent="0.25">
      <c r="A9" t="s">
        <v>361</v>
      </c>
      <c r="B9" t="str">
        <f t="shared" si="0"/>
        <v>ZhuBaJie_M_Name</v>
      </c>
      <c r="C9" t="str">
        <f t="shared" si="1"/>
        <v>ZhuBaJie_M_Des</v>
      </c>
      <c r="D9" s="8" t="s">
        <v>338</v>
      </c>
      <c r="E9" s="8" t="s">
        <v>401</v>
      </c>
      <c r="F9" s="8">
        <v>3</v>
      </c>
      <c r="G9" s="8">
        <v>100</v>
      </c>
      <c r="H9" s="8" t="s">
        <v>409</v>
      </c>
      <c r="I9" s="7" t="s">
        <v>350</v>
      </c>
      <c r="J9" s="32" t="s">
        <v>458</v>
      </c>
    </row>
    <row r="10" spans="1:10" x14ac:dyDescent="0.25">
      <c r="A10" t="s">
        <v>362</v>
      </c>
      <c r="B10" t="str">
        <f t="shared" si="0"/>
        <v>ZhuBaJie_U_Name</v>
      </c>
      <c r="C10" t="str">
        <f t="shared" si="1"/>
        <v>ZhuBaJie_U_Des</v>
      </c>
      <c r="D10" s="7" t="s">
        <v>343</v>
      </c>
      <c r="E10" s="8" t="s">
        <v>402</v>
      </c>
      <c r="F10" s="8">
        <v>4</v>
      </c>
      <c r="G10" s="8">
        <v>100</v>
      </c>
      <c r="H10" s="8" t="s">
        <v>408</v>
      </c>
      <c r="I10" s="7" t="s">
        <v>350</v>
      </c>
      <c r="J10" s="32" t="s">
        <v>466</v>
      </c>
    </row>
    <row r="11" spans="1:10" x14ac:dyDescent="0.25">
      <c r="A11" s="12" t="s">
        <v>363</v>
      </c>
      <c r="B11" t="str">
        <f t="shared" si="0"/>
        <v>ShaWujing_B_Name</v>
      </c>
      <c r="C11" t="str">
        <f t="shared" si="1"/>
        <v>ShaWujing_B_Des</v>
      </c>
      <c r="D11" s="9" t="s">
        <v>335</v>
      </c>
      <c r="E11" s="8">
        <v>1</v>
      </c>
      <c r="F11" s="8">
        <v>0</v>
      </c>
      <c r="G11" s="8">
        <v>100</v>
      </c>
      <c r="H11" s="8" t="s">
        <v>408</v>
      </c>
      <c r="I11" s="7" t="s">
        <v>350</v>
      </c>
      <c r="J11" s="32" t="s">
        <v>464</v>
      </c>
    </row>
    <row r="12" spans="1:10" x14ac:dyDescent="0.25">
      <c r="A12" s="12" t="s">
        <v>364</v>
      </c>
      <c r="B12" t="str">
        <f t="shared" si="0"/>
        <v>ShaWujing_M_Name</v>
      </c>
      <c r="C12" t="str">
        <f t="shared" si="1"/>
        <v>ShaWujing_M_Des</v>
      </c>
      <c r="D12" s="9" t="s">
        <v>339</v>
      </c>
      <c r="E12" s="8" t="s">
        <v>401</v>
      </c>
      <c r="F12" s="8">
        <v>3</v>
      </c>
      <c r="G12" s="8">
        <v>0</v>
      </c>
      <c r="H12" s="8" t="s">
        <v>409</v>
      </c>
      <c r="I12" t="s">
        <v>419</v>
      </c>
      <c r="J12" s="32" t="s">
        <v>459</v>
      </c>
    </row>
    <row r="13" spans="1:10" x14ac:dyDescent="0.25">
      <c r="A13" s="12" t="s">
        <v>365</v>
      </c>
      <c r="B13" t="str">
        <f t="shared" si="0"/>
        <v>ShaWujing_U_Name</v>
      </c>
      <c r="C13" t="str">
        <f t="shared" si="1"/>
        <v>ShaWujing_U_Des</v>
      </c>
      <c r="D13" s="2" t="s">
        <v>343</v>
      </c>
      <c r="E13" s="8" t="s">
        <v>402</v>
      </c>
      <c r="F13" s="8">
        <v>4</v>
      </c>
      <c r="G13" s="8">
        <v>100</v>
      </c>
      <c r="H13" s="8" t="s">
        <v>408</v>
      </c>
      <c r="I13" s="7" t="s">
        <v>350</v>
      </c>
      <c r="J13" s="32" t="s">
        <v>467</v>
      </c>
    </row>
    <row r="14" spans="1:10" x14ac:dyDescent="0.25">
      <c r="A14" s="25" t="s">
        <v>366</v>
      </c>
      <c r="B14" t="str">
        <f t="shared" si="0"/>
        <v>DragonKing_B_Name</v>
      </c>
      <c r="C14" t="str">
        <f t="shared" si="1"/>
        <v>DragonKing_B_Des</v>
      </c>
      <c r="D14" s="27" t="s">
        <v>335</v>
      </c>
      <c r="E14" s="8">
        <v>1</v>
      </c>
      <c r="F14" s="8">
        <v>0</v>
      </c>
      <c r="G14" s="8">
        <v>100</v>
      </c>
      <c r="H14" s="8" t="s">
        <v>408</v>
      </c>
      <c r="I14" s="7" t="s">
        <v>350</v>
      </c>
    </row>
    <row r="15" spans="1:10" x14ac:dyDescent="0.25">
      <c r="A15" s="25" t="s">
        <v>367</v>
      </c>
      <c r="B15" t="str">
        <f t="shared" si="0"/>
        <v>DragonKing_M_Name</v>
      </c>
      <c r="C15" t="str">
        <f t="shared" si="1"/>
        <v>DragonKing_M_Des</v>
      </c>
      <c r="D15" s="27" t="s">
        <v>350</v>
      </c>
      <c r="E15" s="8" t="s">
        <v>401</v>
      </c>
      <c r="F15" s="8">
        <v>3</v>
      </c>
      <c r="G15" s="8">
        <v>100</v>
      </c>
      <c r="H15" s="8" t="s">
        <v>408</v>
      </c>
      <c r="I15" s="7" t="s">
        <v>350</v>
      </c>
    </row>
    <row r="16" spans="1:10" x14ac:dyDescent="0.25">
      <c r="A16" s="25" t="s">
        <v>368</v>
      </c>
      <c r="B16" t="str">
        <f t="shared" si="0"/>
        <v>DragonKing_U_Name</v>
      </c>
      <c r="C16" t="str">
        <f t="shared" si="1"/>
        <v>DragonKing_U_Des</v>
      </c>
      <c r="D16" s="27" t="s">
        <v>350</v>
      </c>
      <c r="E16" s="8" t="s">
        <v>402</v>
      </c>
      <c r="F16" s="8">
        <v>4</v>
      </c>
      <c r="G16" s="8">
        <v>100</v>
      </c>
      <c r="H16" s="8" t="s">
        <v>408</v>
      </c>
      <c r="I16" s="7" t="s">
        <v>350</v>
      </c>
    </row>
    <row r="17" spans="1:10" x14ac:dyDescent="0.25">
      <c r="A17" t="s">
        <v>369</v>
      </c>
      <c r="B17" t="str">
        <f t="shared" si="0"/>
        <v>ThirdPrinceNezha_B_Name</v>
      </c>
      <c r="C17" t="str">
        <f t="shared" si="1"/>
        <v>ThirdPrinceNezha_B_Des</v>
      </c>
      <c r="D17" s="8" t="s">
        <v>335</v>
      </c>
      <c r="E17" s="8">
        <v>1</v>
      </c>
      <c r="F17" s="8">
        <v>0</v>
      </c>
      <c r="G17" s="8">
        <v>100</v>
      </c>
      <c r="H17" s="8" t="s">
        <v>408</v>
      </c>
      <c r="I17" s="7" t="s">
        <v>350</v>
      </c>
      <c r="J17" t="s">
        <v>469</v>
      </c>
    </row>
    <row r="18" spans="1:10" x14ac:dyDescent="0.25">
      <c r="A18" t="s">
        <v>370</v>
      </c>
      <c r="B18" t="str">
        <f t="shared" si="0"/>
        <v>ThirdPrinceNezha_M_Name</v>
      </c>
      <c r="C18" t="str">
        <f t="shared" si="1"/>
        <v>ThirdPrinceNezha_M_Des</v>
      </c>
      <c r="D18" s="8" t="s">
        <v>341</v>
      </c>
      <c r="E18" s="8" t="s">
        <v>401</v>
      </c>
      <c r="F18" s="8">
        <v>3</v>
      </c>
      <c r="G18" s="8">
        <v>100</v>
      </c>
      <c r="H18" s="8" t="s">
        <v>408</v>
      </c>
      <c r="I18" s="7" t="s">
        <v>350</v>
      </c>
      <c r="J18" t="s">
        <v>472</v>
      </c>
    </row>
    <row r="19" spans="1:10" x14ac:dyDescent="0.25">
      <c r="A19" t="s">
        <v>371</v>
      </c>
      <c r="B19" t="str">
        <f t="shared" si="0"/>
        <v>ThirdPrinceNezha_U_Name</v>
      </c>
      <c r="C19" t="str">
        <f t="shared" si="1"/>
        <v>ThirdPrinceNezha_U_Des</v>
      </c>
      <c r="D19" s="7" t="s">
        <v>343</v>
      </c>
      <c r="E19" s="8" t="s">
        <v>402</v>
      </c>
      <c r="F19" s="8">
        <v>4</v>
      </c>
      <c r="G19" s="8">
        <v>100</v>
      </c>
      <c r="H19" s="8" t="s">
        <v>408</v>
      </c>
      <c r="I19" s="7" t="s">
        <v>350</v>
      </c>
      <c r="J19" t="s">
        <v>471</v>
      </c>
    </row>
    <row r="20" spans="1:10" x14ac:dyDescent="0.25">
      <c r="A20" s="12" t="s">
        <v>372</v>
      </c>
      <c r="B20" t="str">
        <f t="shared" si="0"/>
        <v>LittleWhiteDragon_B_Name</v>
      </c>
      <c r="C20" t="str">
        <f t="shared" si="1"/>
        <v>LittleWhiteDragon_B_Des</v>
      </c>
      <c r="D20" s="9" t="s">
        <v>335</v>
      </c>
      <c r="E20" s="8">
        <v>1</v>
      </c>
      <c r="F20" s="8">
        <v>0</v>
      </c>
      <c r="G20" s="8">
        <v>100</v>
      </c>
      <c r="H20" s="8" t="s">
        <v>408</v>
      </c>
      <c r="I20" s="7" t="s">
        <v>350</v>
      </c>
      <c r="J20" t="s">
        <v>465</v>
      </c>
    </row>
    <row r="21" spans="1:10" x14ac:dyDescent="0.25">
      <c r="A21" s="12" t="s">
        <v>373</v>
      </c>
      <c r="B21" t="str">
        <f t="shared" si="0"/>
        <v>LittleWhiteDragon_M_Name</v>
      </c>
      <c r="C21" t="str">
        <f t="shared" si="1"/>
        <v>LittleWhiteDragon_M_Des</v>
      </c>
      <c r="D21" s="9" t="s">
        <v>340</v>
      </c>
      <c r="E21" s="8" t="s">
        <v>401</v>
      </c>
      <c r="F21" s="8">
        <v>3</v>
      </c>
      <c r="G21" s="8">
        <v>100</v>
      </c>
      <c r="H21" s="8" t="s">
        <v>408</v>
      </c>
      <c r="I21" s="7" t="s">
        <v>350</v>
      </c>
      <c r="J21" t="s">
        <v>460</v>
      </c>
    </row>
    <row r="22" spans="1:10" x14ac:dyDescent="0.25">
      <c r="A22" s="12" t="s">
        <v>374</v>
      </c>
      <c r="B22" t="str">
        <f t="shared" si="0"/>
        <v>LittleWhiteDragon_U_Name</v>
      </c>
      <c r="C22" t="str">
        <f t="shared" si="1"/>
        <v>LittleWhiteDragon_U_Des</v>
      </c>
      <c r="D22" s="2" t="s">
        <v>343</v>
      </c>
      <c r="E22" s="8" t="s">
        <v>402</v>
      </c>
      <c r="F22" s="8">
        <v>4</v>
      </c>
      <c r="G22" s="8">
        <v>100</v>
      </c>
      <c r="H22" s="8" t="s">
        <v>408</v>
      </c>
      <c r="I22" s="7" t="s">
        <v>350</v>
      </c>
      <c r="J22" t="s">
        <v>468</v>
      </c>
    </row>
    <row r="23" spans="1:10" x14ac:dyDescent="0.25">
      <c r="A23" t="s">
        <v>379</v>
      </c>
      <c r="B23" t="str">
        <f t="shared" si="0"/>
        <v>BullDemonKing_B_Name</v>
      </c>
      <c r="C23" t="str">
        <f t="shared" si="1"/>
        <v>BullDemonKing_B_Des</v>
      </c>
      <c r="D23" s="8" t="s">
        <v>335</v>
      </c>
      <c r="E23" s="8">
        <v>1</v>
      </c>
      <c r="F23" s="8">
        <v>0</v>
      </c>
      <c r="G23" s="8">
        <v>100</v>
      </c>
      <c r="H23" s="8" t="s">
        <v>408</v>
      </c>
      <c r="I23" s="7" t="s">
        <v>350</v>
      </c>
      <c r="J23" t="s">
        <v>456</v>
      </c>
    </row>
    <row r="24" spans="1:10" x14ac:dyDescent="0.25">
      <c r="A24" t="s">
        <v>380</v>
      </c>
      <c r="B24" t="str">
        <f t="shared" si="0"/>
        <v>BullDemonKing_M_Name</v>
      </c>
      <c r="C24" t="str">
        <f t="shared" si="1"/>
        <v>BullDemonKing_M_Des</v>
      </c>
      <c r="D24" s="8" t="s">
        <v>449</v>
      </c>
      <c r="E24" s="8" t="s">
        <v>401</v>
      </c>
      <c r="F24" s="8">
        <v>3</v>
      </c>
      <c r="G24" s="8">
        <v>0</v>
      </c>
      <c r="H24" s="8" t="s">
        <v>409</v>
      </c>
      <c r="I24" t="s">
        <v>418</v>
      </c>
      <c r="J24" s="8" t="s">
        <v>473</v>
      </c>
    </row>
    <row r="25" spans="1:10" x14ac:dyDescent="0.25">
      <c r="A25" t="s">
        <v>381</v>
      </c>
      <c r="B25" t="str">
        <f t="shared" si="0"/>
        <v>BullDemonKing_U_Name</v>
      </c>
      <c r="C25" t="str">
        <f t="shared" si="1"/>
        <v>BullDemonKing_U_Des</v>
      </c>
      <c r="D25" s="7" t="s">
        <v>448</v>
      </c>
      <c r="E25" s="8" t="s">
        <v>402</v>
      </c>
      <c r="F25" s="8">
        <v>4</v>
      </c>
      <c r="G25" s="8">
        <v>100</v>
      </c>
      <c r="H25" s="8" t="s">
        <v>408</v>
      </c>
      <c r="I25" t="s">
        <v>415</v>
      </c>
      <c r="J25" s="8" t="s">
        <v>479</v>
      </c>
    </row>
    <row r="26" spans="1:10" x14ac:dyDescent="0.25">
      <c r="A26" s="25" t="s">
        <v>375</v>
      </c>
      <c r="B26" t="str">
        <f t="shared" si="0"/>
        <v>ErlangShen_B_Name</v>
      </c>
      <c r="C26" t="str">
        <f t="shared" si="1"/>
        <v>ErlangShen_B_Des</v>
      </c>
      <c r="D26" s="27" t="s">
        <v>335</v>
      </c>
      <c r="E26" s="8">
        <v>1</v>
      </c>
      <c r="F26" s="8">
        <v>0</v>
      </c>
      <c r="G26" s="8">
        <v>100</v>
      </c>
      <c r="H26" s="8" t="s">
        <v>408</v>
      </c>
      <c r="I26" s="7" t="s">
        <v>350</v>
      </c>
    </row>
    <row r="27" spans="1:10" x14ac:dyDescent="0.25">
      <c r="A27" s="25" t="s">
        <v>376</v>
      </c>
      <c r="B27" t="str">
        <f t="shared" si="0"/>
        <v>ErlangShen_M_Name</v>
      </c>
      <c r="C27" t="str">
        <f t="shared" si="1"/>
        <v>ErlangShen_M_Des</v>
      </c>
      <c r="D27" s="27" t="s">
        <v>350</v>
      </c>
      <c r="E27" s="8" t="s">
        <v>401</v>
      </c>
      <c r="F27" s="8">
        <v>3</v>
      </c>
      <c r="G27" s="8">
        <v>100</v>
      </c>
      <c r="H27" s="8" t="s">
        <v>408</v>
      </c>
      <c r="I27" s="7" t="s">
        <v>350</v>
      </c>
    </row>
    <row r="28" spans="1:10" x14ac:dyDescent="0.25">
      <c r="A28" s="25" t="s">
        <v>378</v>
      </c>
      <c r="B28" t="str">
        <f t="shared" si="0"/>
        <v>ErlangShen_U_Name</v>
      </c>
      <c r="C28" t="str">
        <f t="shared" si="1"/>
        <v>ErlangShen_U_Des</v>
      </c>
      <c r="D28" s="27" t="s">
        <v>350</v>
      </c>
      <c r="E28" s="8" t="s">
        <v>402</v>
      </c>
      <c r="F28" s="8">
        <v>4</v>
      </c>
      <c r="G28" s="8">
        <v>100</v>
      </c>
      <c r="H28" s="8" t="s">
        <v>408</v>
      </c>
      <c r="I28" s="7" t="s">
        <v>350</v>
      </c>
    </row>
    <row r="29" spans="1:10" x14ac:dyDescent="0.25">
      <c r="A29" s="25" t="s">
        <v>382</v>
      </c>
      <c r="B29" t="str">
        <f t="shared" si="0"/>
        <v>GuanyinBodhisattva_B_Name</v>
      </c>
      <c r="C29" t="str">
        <f t="shared" si="1"/>
        <v>GuanyinBodhisattva_B_Des</v>
      </c>
      <c r="D29" s="27" t="s">
        <v>336</v>
      </c>
      <c r="E29" s="8">
        <v>1</v>
      </c>
      <c r="F29" s="8">
        <v>0</v>
      </c>
      <c r="G29" s="8">
        <v>100</v>
      </c>
      <c r="H29" s="8" t="s">
        <v>408</v>
      </c>
      <c r="I29" s="7" t="s">
        <v>350</v>
      </c>
    </row>
    <row r="30" spans="1:10" x14ac:dyDescent="0.25">
      <c r="A30" s="25" t="s">
        <v>383</v>
      </c>
      <c r="B30" t="str">
        <f t="shared" si="0"/>
        <v>GuanyinBodhisattva_M_Name</v>
      </c>
      <c r="C30" t="str">
        <f t="shared" si="1"/>
        <v>GuanyinBodhisattva_M_Des</v>
      </c>
      <c r="D30" s="27" t="s">
        <v>350</v>
      </c>
      <c r="E30" s="8" t="s">
        <v>401</v>
      </c>
      <c r="F30" s="8">
        <v>3</v>
      </c>
      <c r="G30" s="8">
        <v>100</v>
      </c>
      <c r="H30" s="8" t="s">
        <v>408</v>
      </c>
      <c r="I30" s="7" t="s">
        <v>350</v>
      </c>
    </row>
    <row r="31" spans="1:10" x14ac:dyDescent="0.25">
      <c r="A31" s="25" t="s">
        <v>384</v>
      </c>
      <c r="B31" t="str">
        <f t="shared" si="0"/>
        <v>GuanyinBodhisattva_U_Name</v>
      </c>
      <c r="C31" t="str">
        <f t="shared" si="1"/>
        <v>GuanyinBodhisattva_U_Des</v>
      </c>
      <c r="D31" s="27" t="s">
        <v>350</v>
      </c>
      <c r="E31" s="8" t="s">
        <v>402</v>
      </c>
      <c r="F31" s="8">
        <v>4</v>
      </c>
      <c r="G31" s="8">
        <v>100</v>
      </c>
      <c r="H31" s="8" t="s">
        <v>408</v>
      </c>
      <c r="I31" s="7" t="s">
        <v>350</v>
      </c>
    </row>
    <row r="32" spans="1:10" x14ac:dyDescent="0.25">
      <c r="A32" s="13" t="s">
        <v>385</v>
      </c>
      <c r="B32" t="str">
        <f t="shared" si="0"/>
        <v>VanguardTiger_B_Name</v>
      </c>
      <c r="C32" t="str">
        <f t="shared" si="1"/>
        <v>VanguardTiger_B_Des</v>
      </c>
      <c r="D32" s="30" t="s">
        <v>335</v>
      </c>
      <c r="E32" s="8">
        <v>1</v>
      </c>
      <c r="F32" s="8">
        <v>0</v>
      </c>
      <c r="G32" s="8">
        <v>100</v>
      </c>
      <c r="H32" s="8" t="s">
        <v>408</v>
      </c>
      <c r="I32" s="7" t="s">
        <v>350</v>
      </c>
      <c r="J32" t="s">
        <v>456</v>
      </c>
    </row>
    <row r="33" spans="1:10" x14ac:dyDescent="0.25">
      <c r="A33" s="12" t="s">
        <v>386</v>
      </c>
      <c r="B33" t="str">
        <f t="shared" si="0"/>
        <v>TheBoySage_B_Name</v>
      </c>
      <c r="C33" t="str">
        <f t="shared" si="1"/>
        <v>TheBoySage_B_Des</v>
      </c>
      <c r="D33" s="9" t="s">
        <v>335</v>
      </c>
      <c r="E33" s="8">
        <v>1</v>
      </c>
      <c r="F33" s="8">
        <v>0</v>
      </c>
      <c r="G33" s="8">
        <v>100</v>
      </c>
      <c r="H33" s="8" t="s">
        <v>408</v>
      </c>
      <c r="I33" s="7" t="s">
        <v>350</v>
      </c>
      <c r="J33" t="s">
        <v>470</v>
      </c>
    </row>
    <row r="34" spans="1:10" x14ac:dyDescent="0.25">
      <c r="A34" s="12" t="s">
        <v>387</v>
      </c>
      <c r="B34" t="str">
        <f t="shared" si="0"/>
        <v>TheBoySage_M_Name</v>
      </c>
      <c r="C34" t="str">
        <f t="shared" si="1"/>
        <v>TheBoySage_M_Des</v>
      </c>
      <c r="D34" s="9" t="s">
        <v>342</v>
      </c>
      <c r="E34" s="8" t="s">
        <v>401</v>
      </c>
      <c r="F34" s="8">
        <v>3</v>
      </c>
      <c r="G34" s="8">
        <v>100</v>
      </c>
      <c r="H34" s="8" t="s">
        <v>408</v>
      </c>
      <c r="I34" s="7" t="s">
        <v>350</v>
      </c>
      <c r="J34" t="s">
        <v>474</v>
      </c>
    </row>
    <row r="35" spans="1:10" x14ac:dyDescent="0.25">
      <c r="A35" s="12" t="s">
        <v>388</v>
      </c>
      <c r="B35" t="str">
        <f t="shared" si="0"/>
        <v>TheBoySage_U_Name</v>
      </c>
      <c r="C35" t="str">
        <f t="shared" si="1"/>
        <v>TheBoySage_U_Des</v>
      </c>
      <c r="D35" s="2" t="s">
        <v>343</v>
      </c>
      <c r="E35" s="8" t="s">
        <v>402</v>
      </c>
      <c r="F35" s="8">
        <v>4</v>
      </c>
      <c r="G35" s="8">
        <v>100</v>
      </c>
      <c r="H35" s="8" t="s">
        <v>408</v>
      </c>
      <c r="I35" s="7" t="s">
        <v>350</v>
      </c>
      <c r="J35" t="s">
        <v>476</v>
      </c>
    </row>
    <row r="36" spans="1:10" x14ac:dyDescent="0.25">
      <c r="A36" t="s">
        <v>389</v>
      </c>
      <c r="B36" t="str">
        <f t="shared" si="0"/>
        <v>GoldHornKing_B_Name</v>
      </c>
      <c r="C36" t="str">
        <f t="shared" si="1"/>
        <v>GoldHornKing_B_Des</v>
      </c>
      <c r="D36" s="8" t="s">
        <v>335</v>
      </c>
      <c r="E36" s="8">
        <v>1</v>
      </c>
      <c r="F36" s="8">
        <v>0</v>
      </c>
      <c r="G36" s="8">
        <v>100</v>
      </c>
      <c r="H36" s="8" t="s">
        <v>408</v>
      </c>
      <c r="I36" s="7" t="s">
        <v>350</v>
      </c>
      <c r="J36" t="s">
        <v>484</v>
      </c>
    </row>
    <row r="37" spans="1:10" x14ac:dyDescent="0.25">
      <c r="A37" t="s">
        <v>390</v>
      </c>
      <c r="B37" t="str">
        <f t="shared" si="0"/>
        <v>GoldHornKing_M_Name</v>
      </c>
      <c r="C37" t="str">
        <f t="shared" si="1"/>
        <v>GoldHornKing_M_Des</v>
      </c>
      <c r="D37" s="8" t="s">
        <v>351</v>
      </c>
      <c r="E37" s="8" t="s">
        <v>401</v>
      </c>
      <c r="F37" s="8">
        <v>3</v>
      </c>
      <c r="G37" s="8">
        <v>100</v>
      </c>
      <c r="H37" s="8" t="s">
        <v>408</v>
      </c>
      <c r="I37" s="7" t="s">
        <v>350</v>
      </c>
      <c r="J37" t="s">
        <v>485</v>
      </c>
    </row>
    <row r="38" spans="1:10" x14ac:dyDescent="0.25">
      <c r="A38" t="s">
        <v>391</v>
      </c>
      <c r="B38" t="str">
        <f t="shared" si="0"/>
        <v>GoldHornKing_U_Name</v>
      </c>
      <c r="C38" t="str">
        <f t="shared" si="1"/>
        <v>GoldHornKing_U_Des</v>
      </c>
      <c r="D38" s="7" t="s">
        <v>343</v>
      </c>
      <c r="E38" s="8" t="s">
        <v>402</v>
      </c>
      <c r="F38" s="8">
        <v>4</v>
      </c>
      <c r="G38" s="8">
        <v>100</v>
      </c>
      <c r="H38" s="8" t="s">
        <v>408</v>
      </c>
      <c r="I38" s="7" t="s">
        <v>350</v>
      </c>
      <c r="J38" t="s">
        <v>486</v>
      </c>
    </row>
    <row r="39" spans="1:10" x14ac:dyDescent="0.25">
      <c r="A39" s="12" t="s">
        <v>393</v>
      </c>
      <c r="B39" t="str">
        <f t="shared" si="0"/>
        <v>SilverHornKing_B_Name</v>
      </c>
      <c r="C39" t="str">
        <f t="shared" si="1"/>
        <v>SilverHornKing_B_Des</v>
      </c>
      <c r="D39" s="9" t="s">
        <v>335</v>
      </c>
      <c r="E39" s="8">
        <v>1</v>
      </c>
      <c r="F39" s="8">
        <v>0</v>
      </c>
      <c r="G39" s="8">
        <v>100</v>
      </c>
      <c r="H39" s="8" t="s">
        <v>408</v>
      </c>
      <c r="I39" s="7" t="s">
        <v>350</v>
      </c>
      <c r="J39" t="s">
        <v>480</v>
      </c>
    </row>
    <row r="40" spans="1:10" x14ac:dyDescent="0.25">
      <c r="A40" s="12" t="s">
        <v>394</v>
      </c>
      <c r="B40" t="str">
        <f t="shared" si="0"/>
        <v>SilverHornKing_M_Name</v>
      </c>
      <c r="C40" t="str">
        <f t="shared" si="1"/>
        <v>SilverHornKing_M_Des</v>
      </c>
      <c r="D40" s="9" t="s">
        <v>344</v>
      </c>
      <c r="E40" s="8" t="s">
        <v>401</v>
      </c>
      <c r="F40" s="8">
        <v>3</v>
      </c>
      <c r="G40" s="8">
        <v>100</v>
      </c>
      <c r="H40" s="8" t="s">
        <v>408</v>
      </c>
      <c r="I40" s="7" t="s">
        <v>350</v>
      </c>
      <c r="J40" t="s">
        <v>482</v>
      </c>
    </row>
    <row r="41" spans="1:10" x14ac:dyDescent="0.25">
      <c r="A41" s="12" t="s">
        <v>392</v>
      </c>
      <c r="B41" t="str">
        <f t="shared" si="0"/>
        <v>SilverHornKing_U_Name</v>
      </c>
      <c r="C41" t="str">
        <f t="shared" si="1"/>
        <v>SilverHornKing_U_Des</v>
      </c>
      <c r="D41" s="2" t="s">
        <v>343</v>
      </c>
      <c r="E41" s="8" t="s">
        <v>402</v>
      </c>
      <c r="F41" s="8">
        <v>4</v>
      </c>
      <c r="G41" s="8">
        <v>100</v>
      </c>
      <c r="H41" s="8" t="s">
        <v>408</v>
      </c>
      <c r="I41" s="7" t="s">
        <v>350</v>
      </c>
      <c r="J41" t="s">
        <v>486</v>
      </c>
    </row>
    <row r="42" spans="1:10" x14ac:dyDescent="0.25">
      <c r="A42" s="28" t="s">
        <v>395</v>
      </c>
      <c r="B42" t="str">
        <f t="shared" si="0"/>
        <v>YellowWindMonster_B_Name</v>
      </c>
      <c r="C42" t="str">
        <f t="shared" si="1"/>
        <v>YellowWindMonster_B_Des</v>
      </c>
      <c r="D42" s="8" t="s">
        <v>335</v>
      </c>
      <c r="E42" s="8">
        <v>1</v>
      </c>
      <c r="F42" s="8">
        <v>0</v>
      </c>
      <c r="G42" s="8">
        <v>100</v>
      </c>
      <c r="H42" s="8" t="s">
        <v>408</v>
      </c>
      <c r="I42" s="7" t="s">
        <v>350</v>
      </c>
      <c r="J42" t="s">
        <v>475</v>
      </c>
    </row>
    <row r="43" spans="1:10" x14ac:dyDescent="0.25">
      <c r="A43" s="28" t="s">
        <v>396</v>
      </c>
      <c r="B43" t="str">
        <f t="shared" si="0"/>
        <v>YellowWindMonster_M_Name</v>
      </c>
      <c r="C43" t="str">
        <f t="shared" si="1"/>
        <v>YellowWindMonster_M_Des</v>
      </c>
      <c r="D43" s="8" t="s">
        <v>345</v>
      </c>
      <c r="E43" s="8" t="s">
        <v>401</v>
      </c>
      <c r="F43" s="8">
        <v>3</v>
      </c>
      <c r="G43" s="8">
        <v>1000</v>
      </c>
      <c r="H43" s="8" t="s">
        <v>408</v>
      </c>
      <c r="I43" s="7" t="s">
        <v>350</v>
      </c>
      <c r="J43" t="s">
        <v>477</v>
      </c>
    </row>
    <row r="44" spans="1:10" x14ac:dyDescent="0.25">
      <c r="A44" s="28" t="s">
        <v>397</v>
      </c>
      <c r="B44" t="str">
        <f t="shared" si="0"/>
        <v>YellowWindMonster_U_Name</v>
      </c>
      <c r="C44" t="str">
        <f t="shared" si="1"/>
        <v>YellowWindMonster_U_Des</v>
      </c>
      <c r="D44" s="7" t="s">
        <v>346</v>
      </c>
      <c r="E44" s="8" t="s">
        <v>402</v>
      </c>
      <c r="F44" s="8">
        <v>4</v>
      </c>
      <c r="G44" s="8">
        <v>100</v>
      </c>
      <c r="H44" s="8" t="s">
        <v>408</v>
      </c>
      <c r="I44" s="7" t="s">
        <v>350</v>
      </c>
      <c r="J44" t="s">
        <v>478</v>
      </c>
    </row>
    <row r="45" spans="1:10" x14ac:dyDescent="0.25">
      <c r="A45" s="12" t="s">
        <v>398</v>
      </c>
      <c r="B45" t="str">
        <f t="shared" si="0"/>
        <v>GoldfishDemon_B_Name</v>
      </c>
      <c r="C45" t="str">
        <f t="shared" si="1"/>
        <v>GoldfishDemon_B_Des</v>
      </c>
      <c r="D45" s="9" t="s">
        <v>335</v>
      </c>
      <c r="E45" s="8">
        <v>1</v>
      </c>
      <c r="F45" s="8">
        <v>0</v>
      </c>
      <c r="G45" s="8">
        <v>100</v>
      </c>
      <c r="H45" s="8" t="s">
        <v>408</v>
      </c>
      <c r="I45" s="7" t="s">
        <v>350</v>
      </c>
      <c r="J45" t="s">
        <v>481</v>
      </c>
    </row>
    <row r="46" spans="1:10" x14ac:dyDescent="0.25">
      <c r="A46" s="12" t="s">
        <v>399</v>
      </c>
      <c r="B46" t="str">
        <f t="shared" si="0"/>
        <v>GoldfishDemon_M_Name</v>
      </c>
      <c r="C46" t="str">
        <f t="shared" si="1"/>
        <v>GoldfishDemon_M_Des</v>
      </c>
      <c r="D46" s="9" t="s">
        <v>351</v>
      </c>
      <c r="E46" s="8" t="s">
        <v>401</v>
      </c>
      <c r="F46" s="8">
        <v>3</v>
      </c>
      <c r="G46" s="8">
        <v>100</v>
      </c>
      <c r="H46" s="8" t="s">
        <v>408</v>
      </c>
      <c r="I46" s="7" t="s">
        <v>350</v>
      </c>
      <c r="J46" t="s">
        <v>483</v>
      </c>
    </row>
    <row r="47" spans="1:10" x14ac:dyDescent="0.25">
      <c r="A47" s="12" t="s">
        <v>400</v>
      </c>
      <c r="B47" t="str">
        <f t="shared" si="0"/>
        <v>GoldfishDemon_U_Name</v>
      </c>
      <c r="C47" t="str">
        <f t="shared" si="1"/>
        <v>GoldfishDemon_U_Des</v>
      </c>
      <c r="D47" s="2" t="s">
        <v>343</v>
      </c>
      <c r="E47" s="8" t="s">
        <v>402</v>
      </c>
      <c r="F47" s="8">
        <v>4</v>
      </c>
      <c r="G47" s="8">
        <v>100</v>
      </c>
      <c r="H47" s="8" t="s">
        <v>408</v>
      </c>
      <c r="I47" t="s">
        <v>416</v>
      </c>
      <c r="J47" t="s">
        <v>487</v>
      </c>
    </row>
    <row r="48" spans="1:10" x14ac:dyDescent="0.25">
      <c r="A48" s="31" t="s">
        <v>405</v>
      </c>
      <c r="B48" s="8" t="str">
        <f t="shared" si="0"/>
        <v>None_Skill_Name</v>
      </c>
      <c r="C48" s="8" t="str">
        <f t="shared" si="1"/>
        <v>None_Skill_Des</v>
      </c>
      <c r="D48" s="9" t="s">
        <v>350</v>
      </c>
      <c r="E48" s="8">
        <v>0</v>
      </c>
      <c r="F48" s="8">
        <v>0</v>
      </c>
      <c r="G48" s="8">
        <v>100</v>
      </c>
      <c r="H48" s="8" t="s">
        <v>408</v>
      </c>
      <c r="I48" s="7" t="s">
        <v>350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customWidth="1"/>
    <col min="2" max="2" width="21.140625" bestFit="1" customWidth="1"/>
    <col min="3" max="3" width="19" bestFit="1" customWidth="1"/>
    <col min="4" max="4" width="16.5703125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417</v>
      </c>
      <c r="F1" s="18" t="s">
        <v>445</v>
      </c>
      <c r="G1" s="18" t="s">
        <v>411</v>
      </c>
      <c r="H1" s="18" t="s">
        <v>412</v>
      </c>
      <c r="I1" s="18" t="s">
        <v>413</v>
      </c>
    </row>
    <row r="2" spans="1:9" x14ac:dyDescent="0.25">
      <c r="A2" t="s">
        <v>415</v>
      </c>
      <c r="B2" t="s">
        <v>440</v>
      </c>
      <c r="C2" t="s">
        <v>441</v>
      </c>
      <c r="D2" s="7" t="s">
        <v>414</v>
      </c>
      <c r="E2" s="7" t="s">
        <v>350</v>
      </c>
      <c r="F2" s="7" t="s">
        <v>350</v>
      </c>
      <c r="G2" s="7">
        <v>3</v>
      </c>
      <c r="H2" s="7">
        <v>200</v>
      </c>
      <c r="I2" s="7">
        <v>1</v>
      </c>
    </row>
    <row r="3" spans="1:9" x14ac:dyDescent="0.25">
      <c r="A3" t="s">
        <v>416</v>
      </c>
      <c r="B3" t="s">
        <v>434</v>
      </c>
      <c r="C3" t="s">
        <v>435</v>
      </c>
      <c r="D3" s="7" t="s">
        <v>423</v>
      </c>
      <c r="E3" s="7" t="s">
        <v>350</v>
      </c>
      <c r="F3" s="7" t="s">
        <v>350</v>
      </c>
      <c r="G3" s="7">
        <v>1</v>
      </c>
      <c r="H3" s="7">
        <v>100</v>
      </c>
      <c r="I3" s="7">
        <v>1</v>
      </c>
    </row>
    <row r="4" spans="1:9" x14ac:dyDescent="0.25">
      <c r="A4" t="s">
        <v>418</v>
      </c>
      <c r="B4" t="s">
        <v>432</v>
      </c>
      <c r="C4" t="s">
        <v>433</v>
      </c>
      <c r="D4" s="7" t="s">
        <v>424</v>
      </c>
      <c r="E4" s="7" t="s">
        <v>70</v>
      </c>
      <c r="F4" s="7" t="s">
        <v>447</v>
      </c>
      <c r="G4" s="7">
        <v>2</v>
      </c>
      <c r="H4" s="7">
        <v>600</v>
      </c>
      <c r="I4" s="7">
        <v>1</v>
      </c>
    </row>
    <row r="5" spans="1:9" x14ac:dyDescent="0.25">
      <c r="A5" t="s">
        <v>419</v>
      </c>
      <c r="B5" t="s">
        <v>430</v>
      </c>
      <c r="C5" t="s">
        <v>431</v>
      </c>
      <c r="D5" s="7" t="s">
        <v>424</v>
      </c>
      <c r="E5" s="7" t="s">
        <v>421</v>
      </c>
      <c r="F5" s="7" t="s">
        <v>447</v>
      </c>
      <c r="G5" s="7">
        <v>2</v>
      </c>
      <c r="H5" s="7">
        <v>200</v>
      </c>
      <c r="I5" s="7">
        <v>1</v>
      </c>
    </row>
    <row r="6" spans="1:9" x14ac:dyDescent="0.25">
      <c r="A6" t="s">
        <v>420</v>
      </c>
      <c r="B6" t="s">
        <v>436</v>
      </c>
      <c r="C6" t="s">
        <v>437</v>
      </c>
      <c r="D6" s="7" t="s">
        <v>424</v>
      </c>
      <c r="E6" s="7" t="s">
        <v>422</v>
      </c>
      <c r="F6" s="7" t="s">
        <v>446</v>
      </c>
      <c r="G6" s="7">
        <v>2</v>
      </c>
      <c r="H6" s="7">
        <v>20</v>
      </c>
      <c r="I6" s="7">
        <v>1</v>
      </c>
    </row>
    <row r="7" spans="1:9" x14ac:dyDescent="0.25">
      <c r="A7" t="s">
        <v>425</v>
      </c>
      <c r="B7" t="s">
        <v>438</v>
      </c>
      <c r="C7" t="s">
        <v>439</v>
      </c>
      <c r="D7" s="7" t="s">
        <v>426</v>
      </c>
      <c r="E7" s="7" t="s">
        <v>422</v>
      </c>
      <c r="F7" s="7" t="s">
        <v>446</v>
      </c>
      <c r="G7" s="7">
        <v>2</v>
      </c>
      <c r="H7" s="7">
        <v>-20</v>
      </c>
      <c r="I7" s="7">
        <v>1</v>
      </c>
    </row>
    <row r="8" spans="1:9" x14ac:dyDescent="0.25">
      <c r="A8" t="s">
        <v>427</v>
      </c>
      <c r="B8" t="s">
        <v>428</v>
      </c>
      <c r="C8" t="s">
        <v>429</v>
      </c>
      <c r="D8" s="7" t="s">
        <v>442</v>
      </c>
      <c r="E8" s="7" t="s">
        <v>350</v>
      </c>
      <c r="F8" s="7" t="s">
        <v>350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A13" sqref="A13"/>
    </sheetView>
  </sheetViews>
  <sheetFormatPr defaultRowHeight="15" x14ac:dyDescent="0.25"/>
  <cols>
    <col min="1" max="1" width="19" bestFit="1" customWidth="1"/>
    <col min="12" max="12" width="12.28515625" bestFit="1" customWidth="1"/>
  </cols>
  <sheetData>
    <row r="1" spans="1:12" x14ac:dyDescent="0.25">
      <c r="A1" s="18" t="s">
        <v>0</v>
      </c>
      <c r="B1" s="18" t="s">
        <v>64</v>
      </c>
      <c r="C1" s="18" t="s">
        <v>68</v>
      </c>
      <c r="D1" s="18" t="s">
        <v>297</v>
      </c>
      <c r="E1" s="18" t="s">
        <v>298</v>
      </c>
      <c r="F1" s="18" t="s">
        <v>299</v>
      </c>
      <c r="G1" s="18" t="s">
        <v>352</v>
      </c>
      <c r="H1" s="18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</row>
    <row r="2" spans="1:12" x14ac:dyDescent="0.25">
      <c r="A2" t="s">
        <v>282</v>
      </c>
      <c r="B2" s="2" t="s">
        <v>283</v>
      </c>
      <c r="C2" s="20" t="s">
        <v>73</v>
      </c>
      <c r="D2" s="8">
        <v>3750</v>
      </c>
      <c r="E2" s="8">
        <v>2000</v>
      </c>
      <c r="F2" s="8">
        <v>400</v>
      </c>
      <c r="G2" s="8">
        <v>111</v>
      </c>
      <c r="H2" s="8">
        <v>0</v>
      </c>
      <c r="I2" s="8">
        <v>0</v>
      </c>
      <c r="J2" s="8">
        <v>0</v>
      </c>
      <c r="K2" s="8">
        <v>0</v>
      </c>
      <c r="L2" s="8">
        <v>0</v>
      </c>
    </row>
    <row r="3" spans="1:12" x14ac:dyDescent="0.25">
      <c r="A3" t="s">
        <v>284</v>
      </c>
      <c r="B3" s="19" t="s">
        <v>285</v>
      </c>
      <c r="C3" s="12" t="s">
        <v>75</v>
      </c>
      <c r="D3" s="8">
        <v>2500</v>
      </c>
      <c r="E3" s="8">
        <v>1650</v>
      </c>
      <c r="F3" s="8">
        <v>280</v>
      </c>
      <c r="G3" s="8">
        <v>90</v>
      </c>
      <c r="H3" s="8">
        <v>0</v>
      </c>
      <c r="I3" s="8">
        <v>0</v>
      </c>
      <c r="J3" s="8">
        <v>0</v>
      </c>
      <c r="K3" s="8">
        <v>0</v>
      </c>
      <c r="L3" s="8">
        <v>0</v>
      </c>
    </row>
    <row r="4" spans="1:12" x14ac:dyDescent="0.25">
      <c r="A4" t="s">
        <v>286</v>
      </c>
      <c r="B4" s="16" t="s">
        <v>287</v>
      </c>
      <c r="C4" s="21" t="s">
        <v>76</v>
      </c>
      <c r="D4" s="8">
        <v>3200</v>
      </c>
      <c r="E4" s="8">
        <v>1350</v>
      </c>
      <c r="F4" s="8">
        <v>400</v>
      </c>
      <c r="G4" s="8">
        <v>85</v>
      </c>
      <c r="H4" s="8">
        <v>0</v>
      </c>
      <c r="I4" s="8">
        <v>0</v>
      </c>
      <c r="J4" s="8">
        <v>0</v>
      </c>
      <c r="K4" s="8">
        <v>0</v>
      </c>
      <c r="L4" s="8">
        <v>0</v>
      </c>
    </row>
    <row r="5" spans="1:12" x14ac:dyDescent="0.25">
      <c r="A5" t="s">
        <v>288</v>
      </c>
      <c r="B5" s="3" t="s">
        <v>289</v>
      </c>
      <c r="C5" s="22" t="s">
        <v>78</v>
      </c>
      <c r="D5" s="8">
        <v>3900</v>
      </c>
      <c r="E5" s="8">
        <v>1380</v>
      </c>
      <c r="F5" s="8">
        <v>300</v>
      </c>
      <c r="G5" s="8">
        <v>90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 x14ac:dyDescent="0.25">
      <c r="A6" t="s">
        <v>290</v>
      </c>
      <c r="B6" s="3" t="s">
        <v>289</v>
      </c>
      <c r="C6" s="22" t="s">
        <v>78</v>
      </c>
      <c r="D6" s="8">
        <v>2930</v>
      </c>
      <c r="E6" s="8">
        <v>1320</v>
      </c>
      <c r="F6" s="8">
        <v>340</v>
      </c>
      <c r="G6" s="8">
        <v>95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 x14ac:dyDescent="0.25">
      <c r="A7" t="s">
        <v>291</v>
      </c>
      <c r="B7" s="16" t="s">
        <v>287</v>
      </c>
      <c r="C7" s="23" t="s">
        <v>74</v>
      </c>
      <c r="D7" s="8">
        <v>2650</v>
      </c>
      <c r="E7" s="8">
        <v>2400</v>
      </c>
      <c r="F7" s="8">
        <v>325</v>
      </c>
      <c r="G7" s="8">
        <v>95</v>
      </c>
      <c r="H7" s="8">
        <v>20</v>
      </c>
      <c r="I7" s="8">
        <v>0</v>
      </c>
      <c r="J7" s="8">
        <v>0</v>
      </c>
      <c r="K7" s="8">
        <v>0</v>
      </c>
      <c r="L7" s="8">
        <v>0</v>
      </c>
    </row>
    <row r="8" spans="1:12" x14ac:dyDescent="0.25">
      <c r="A8" t="s">
        <v>292</v>
      </c>
      <c r="B8" s="3" t="s">
        <v>289</v>
      </c>
      <c r="C8" s="13" t="s">
        <v>293</v>
      </c>
      <c r="D8" s="8">
        <v>2750</v>
      </c>
      <c r="E8" s="8">
        <v>1800</v>
      </c>
      <c r="F8" s="8">
        <v>300</v>
      </c>
      <c r="G8" s="8">
        <v>95</v>
      </c>
      <c r="H8" s="8">
        <v>0</v>
      </c>
      <c r="I8" s="8">
        <v>0</v>
      </c>
      <c r="J8" s="8">
        <v>0</v>
      </c>
      <c r="K8" s="8">
        <v>0</v>
      </c>
      <c r="L8" s="8">
        <v>0</v>
      </c>
    </row>
    <row r="9" spans="1:12" x14ac:dyDescent="0.25">
      <c r="A9" t="s">
        <v>294</v>
      </c>
      <c r="B9" s="2" t="s">
        <v>283</v>
      </c>
      <c r="C9" s="21" t="s">
        <v>76</v>
      </c>
      <c r="D9" s="8">
        <v>4250</v>
      </c>
      <c r="E9" s="8">
        <v>1500</v>
      </c>
      <c r="F9" s="8">
        <v>420</v>
      </c>
      <c r="G9" s="8">
        <v>95</v>
      </c>
      <c r="H9" s="8">
        <v>0</v>
      </c>
      <c r="I9" s="8">
        <v>0</v>
      </c>
      <c r="J9" s="8">
        <v>0</v>
      </c>
      <c r="K9" s="8">
        <v>0</v>
      </c>
      <c r="L9" s="8">
        <v>0</v>
      </c>
    </row>
    <row r="10" spans="1:12" x14ac:dyDescent="0.25">
      <c r="A10" t="s">
        <v>295</v>
      </c>
      <c r="B10" s="2" t="s">
        <v>283</v>
      </c>
      <c r="C10" s="21" t="s">
        <v>76</v>
      </c>
      <c r="D10" s="8">
        <v>3700</v>
      </c>
      <c r="E10" s="8">
        <v>2100</v>
      </c>
      <c r="F10" s="8">
        <v>350</v>
      </c>
      <c r="G10" s="8">
        <v>95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 x14ac:dyDescent="0.25">
      <c r="A11" t="s">
        <v>296</v>
      </c>
      <c r="B11" s="2" t="s">
        <v>283</v>
      </c>
      <c r="C11" s="12" t="s">
        <v>75</v>
      </c>
      <c r="D11" s="8">
        <v>3000</v>
      </c>
      <c r="E11" s="8">
        <v>1950</v>
      </c>
      <c r="F11" s="8">
        <v>330</v>
      </c>
      <c r="G11" s="8">
        <v>95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</row>
    <row r="12" spans="1:12" x14ac:dyDescent="0.25">
      <c r="A12" s="24" t="s">
        <v>333</v>
      </c>
      <c r="B12" s="19" t="s">
        <v>285</v>
      </c>
      <c r="C12" s="12" t="s">
        <v>75</v>
      </c>
      <c r="D12" s="8">
        <v>3500</v>
      </c>
      <c r="E12" s="8">
        <v>2650</v>
      </c>
      <c r="F12" s="8">
        <v>280</v>
      </c>
      <c r="G12" s="8">
        <v>70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12" x14ac:dyDescent="0.25">
      <c r="A13" s="24" t="s">
        <v>314</v>
      </c>
      <c r="B13" s="2" t="s">
        <v>283</v>
      </c>
      <c r="C13" s="23" t="s">
        <v>74</v>
      </c>
      <c r="D13" s="8">
        <v>2650</v>
      </c>
      <c r="E13" s="8">
        <v>2400</v>
      </c>
      <c r="F13" s="8">
        <v>325</v>
      </c>
      <c r="G13" s="8">
        <v>80</v>
      </c>
      <c r="H13" s="8">
        <v>20</v>
      </c>
      <c r="I13" s="8">
        <v>0</v>
      </c>
      <c r="J13" s="8">
        <v>0</v>
      </c>
      <c r="K13" s="8">
        <v>0</v>
      </c>
      <c r="L13" s="8">
        <v>0</v>
      </c>
    </row>
    <row r="14" spans="1:12" x14ac:dyDescent="0.25">
      <c r="A14" s="24" t="s">
        <v>316</v>
      </c>
      <c r="B14" s="16" t="s">
        <v>287</v>
      </c>
      <c r="C14" s="23" t="s">
        <v>74</v>
      </c>
      <c r="D14" s="8">
        <v>2650</v>
      </c>
      <c r="E14" s="8">
        <v>2400</v>
      </c>
      <c r="F14" s="8">
        <v>325</v>
      </c>
      <c r="G14" s="8">
        <v>80</v>
      </c>
      <c r="H14" s="8">
        <v>20</v>
      </c>
      <c r="I14" s="8">
        <v>0</v>
      </c>
      <c r="J14" s="8">
        <v>0</v>
      </c>
      <c r="K14" s="8">
        <v>0</v>
      </c>
      <c r="L14" s="8">
        <v>0</v>
      </c>
    </row>
    <row r="15" spans="1:12" x14ac:dyDescent="0.25">
      <c r="A15" s="24" t="s">
        <v>317</v>
      </c>
      <c r="B15" s="16" t="s">
        <v>287</v>
      </c>
      <c r="C15" s="23" t="s">
        <v>74</v>
      </c>
      <c r="D15" s="8">
        <v>2650</v>
      </c>
      <c r="E15" s="8">
        <v>2400</v>
      </c>
      <c r="F15" s="8">
        <v>325</v>
      </c>
      <c r="G15" s="8">
        <v>80</v>
      </c>
      <c r="H15" s="8">
        <v>20</v>
      </c>
      <c r="I15" s="8">
        <v>0</v>
      </c>
      <c r="J15" s="8">
        <v>0</v>
      </c>
      <c r="K15" s="8">
        <v>0</v>
      </c>
      <c r="L15" s="8">
        <v>0</v>
      </c>
    </row>
    <row r="16" spans="1:12" x14ac:dyDescent="0.25">
      <c r="A16" s="24" t="s">
        <v>318</v>
      </c>
      <c r="B16" s="2" t="s">
        <v>283</v>
      </c>
      <c r="C16" s="23" t="s">
        <v>74</v>
      </c>
      <c r="D16" s="8">
        <v>4900</v>
      </c>
      <c r="E16" s="8">
        <v>2400</v>
      </c>
      <c r="F16" s="8">
        <v>325</v>
      </c>
      <c r="G16" s="8">
        <v>100</v>
      </c>
      <c r="H16" s="8">
        <v>20</v>
      </c>
      <c r="I16" s="8">
        <v>0</v>
      </c>
      <c r="J16" s="8">
        <v>0</v>
      </c>
      <c r="K16" s="8">
        <v>0</v>
      </c>
      <c r="L16" s="8">
        <v>0</v>
      </c>
    </row>
    <row r="17" spans="1:12" x14ac:dyDescent="0.25">
      <c r="A17" s="24" t="s">
        <v>319</v>
      </c>
      <c r="B17" s="16" t="s">
        <v>287</v>
      </c>
      <c r="C17" s="23" t="s">
        <v>74</v>
      </c>
      <c r="D17" s="8">
        <v>2650</v>
      </c>
      <c r="E17" s="8">
        <v>2400</v>
      </c>
      <c r="F17" s="8">
        <v>325</v>
      </c>
      <c r="G17" s="8">
        <v>80</v>
      </c>
      <c r="H17" s="8">
        <v>20</v>
      </c>
      <c r="I17" s="8">
        <v>0</v>
      </c>
      <c r="J17" s="8">
        <v>0</v>
      </c>
      <c r="K17" s="8">
        <v>0</v>
      </c>
      <c r="L17" s="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bestFit="1" customWidth="1"/>
    <col min="4" max="4" width="13.5703125" bestFit="1" customWidth="1"/>
    <col min="6" max="6" width="15.140625" customWidth="1"/>
  </cols>
  <sheetData>
    <row r="1" spans="1:6" x14ac:dyDescent="0.25">
      <c r="A1" s="18" t="s">
        <v>0</v>
      </c>
      <c r="B1" s="18" t="s">
        <v>64</v>
      </c>
      <c r="C1" s="18" t="s">
        <v>68</v>
      </c>
      <c r="D1" s="18" t="s">
        <v>306</v>
      </c>
      <c r="E1" s="18" t="s">
        <v>307</v>
      </c>
      <c r="F1" s="18" t="s">
        <v>308</v>
      </c>
    </row>
    <row r="2" spans="1:6" x14ac:dyDescent="0.25">
      <c r="A2" t="s">
        <v>282</v>
      </c>
      <c r="B2" s="2" t="s">
        <v>283</v>
      </c>
      <c r="C2" s="20" t="s">
        <v>73</v>
      </c>
      <c r="D2" s="7" t="s">
        <v>297</v>
      </c>
      <c r="E2" s="7" t="s">
        <v>69</v>
      </c>
      <c r="F2" s="7" t="s">
        <v>309</v>
      </c>
    </row>
    <row r="3" spans="1:6" x14ac:dyDescent="0.25">
      <c r="A3" t="s">
        <v>284</v>
      </c>
      <c r="B3" s="19" t="s">
        <v>285</v>
      </c>
      <c r="C3" s="12" t="s">
        <v>75</v>
      </c>
      <c r="D3" s="7" t="s">
        <v>297</v>
      </c>
      <c r="E3" s="7" t="s">
        <v>69</v>
      </c>
      <c r="F3" s="7" t="s">
        <v>309</v>
      </c>
    </row>
    <row r="4" spans="1:6" x14ac:dyDescent="0.25">
      <c r="A4" t="s">
        <v>286</v>
      </c>
      <c r="B4" s="16" t="s">
        <v>287</v>
      </c>
      <c r="C4" s="21" t="s">
        <v>76</v>
      </c>
      <c r="D4" s="7" t="s">
        <v>297</v>
      </c>
      <c r="E4" s="7" t="s">
        <v>69</v>
      </c>
      <c r="F4" s="7" t="s">
        <v>309</v>
      </c>
    </row>
    <row r="5" spans="1:6" x14ac:dyDescent="0.25">
      <c r="A5" t="s">
        <v>288</v>
      </c>
      <c r="B5" s="3" t="s">
        <v>289</v>
      </c>
      <c r="C5" s="22" t="s">
        <v>78</v>
      </c>
      <c r="D5" s="7" t="s">
        <v>297</v>
      </c>
      <c r="E5" s="7" t="s">
        <v>69</v>
      </c>
      <c r="F5" s="7" t="s">
        <v>309</v>
      </c>
    </row>
    <row r="6" spans="1:6" x14ac:dyDescent="0.25">
      <c r="A6" t="s">
        <v>290</v>
      </c>
      <c r="B6" s="3" t="s">
        <v>289</v>
      </c>
      <c r="C6" s="22" t="s">
        <v>78</v>
      </c>
      <c r="D6" s="7" t="s">
        <v>297</v>
      </c>
      <c r="E6" s="7" t="s">
        <v>69</v>
      </c>
      <c r="F6" s="7" t="s">
        <v>309</v>
      </c>
    </row>
    <row r="7" spans="1:6" x14ac:dyDescent="0.25">
      <c r="A7" t="s">
        <v>291</v>
      </c>
      <c r="B7" s="16" t="s">
        <v>287</v>
      </c>
      <c r="C7" s="23" t="s">
        <v>74</v>
      </c>
      <c r="D7" s="7" t="s">
        <v>297</v>
      </c>
      <c r="E7" s="7" t="s">
        <v>69</v>
      </c>
      <c r="F7" s="7" t="s">
        <v>309</v>
      </c>
    </row>
    <row r="8" spans="1:6" x14ac:dyDescent="0.25">
      <c r="A8" t="s">
        <v>292</v>
      </c>
      <c r="B8" s="3" t="s">
        <v>289</v>
      </c>
      <c r="C8" s="13" t="s">
        <v>293</v>
      </c>
      <c r="D8" s="7" t="s">
        <v>297</v>
      </c>
      <c r="E8" s="7" t="s">
        <v>69</v>
      </c>
      <c r="F8" s="7" t="s">
        <v>309</v>
      </c>
    </row>
    <row r="9" spans="1:6" x14ac:dyDescent="0.25">
      <c r="A9" t="s">
        <v>294</v>
      </c>
      <c r="B9" s="2" t="s">
        <v>283</v>
      </c>
      <c r="C9" s="21" t="s">
        <v>76</v>
      </c>
      <c r="D9" s="7" t="s">
        <v>297</v>
      </c>
      <c r="E9" s="7" t="s">
        <v>69</v>
      </c>
      <c r="F9" s="7" t="s">
        <v>309</v>
      </c>
    </row>
    <row r="10" spans="1:6" x14ac:dyDescent="0.25">
      <c r="A10" t="s">
        <v>295</v>
      </c>
      <c r="B10" s="2" t="s">
        <v>283</v>
      </c>
      <c r="C10" s="21" t="s">
        <v>76</v>
      </c>
      <c r="D10" s="7" t="s">
        <v>297</v>
      </c>
      <c r="E10" s="7" t="s">
        <v>69</v>
      </c>
      <c r="F10" s="7" t="s">
        <v>309</v>
      </c>
    </row>
    <row r="11" spans="1:6" x14ac:dyDescent="0.25">
      <c r="A11" t="s">
        <v>296</v>
      </c>
      <c r="B11" s="2" t="s">
        <v>283</v>
      </c>
      <c r="C11" s="12" t="s">
        <v>75</v>
      </c>
      <c r="D11" s="7" t="s">
        <v>297</v>
      </c>
      <c r="E11" s="7" t="s">
        <v>69</v>
      </c>
      <c r="F11" s="7" t="s">
        <v>309</v>
      </c>
    </row>
    <row r="12" spans="1:6" x14ac:dyDescent="0.25">
      <c r="A12" s="24" t="s">
        <v>333</v>
      </c>
      <c r="B12" s="19" t="s">
        <v>285</v>
      </c>
      <c r="C12" s="20" t="s">
        <v>73</v>
      </c>
      <c r="D12" s="7" t="s">
        <v>297</v>
      </c>
      <c r="E12" s="7" t="s">
        <v>69</v>
      </c>
      <c r="F12" s="7" t="s">
        <v>309</v>
      </c>
    </row>
    <row r="13" spans="1:6" x14ac:dyDescent="0.25">
      <c r="A13" s="24" t="s">
        <v>314</v>
      </c>
      <c r="B13" s="2" t="s">
        <v>283</v>
      </c>
      <c r="C13" s="23" t="s">
        <v>74</v>
      </c>
      <c r="D13" s="7" t="s">
        <v>297</v>
      </c>
      <c r="E13" s="7" t="s">
        <v>69</v>
      </c>
      <c r="F13" s="7" t="s">
        <v>309</v>
      </c>
    </row>
    <row r="14" spans="1:6" x14ac:dyDescent="0.25">
      <c r="A14" s="24" t="s">
        <v>316</v>
      </c>
      <c r="B14" s="16" t="s">
        <v>287</v>
      </c>
      <c r="C14" s="12" t="s">
        <v>75</v>
      </c>
      <c r="D14" s="7" t="s">
        <v>297</v>
      </c>
      <c r="E14" s="7" t="s">
        <v>69</v>
      </c>
      <c r="F14" s="7" t="s">
        <v>309</v>
      </c>
    </row>
    <row r="15" spans="1:6" x14ac:dyDescent="0.25">
      <c r="A15" s="24" t="s">
        <v>317</v>
      </c>
      <c r="B15" s="16" t="s">
        <v>287</v>
      </c>
      <c r="C15" s="12" t="s">
        <v>75</v>
      </c>
      <c r="D15" s="7" t="s">
        <v>297</v>
      </c>
      <c r="E15" s="7" t="s">
        <v>69</v>
      </c>
      <c r="F15" s="7" t="s">
        <v>309</v>
      </c>
    </row>
    <row r="16" spans="1:6" x14ac:dyDescent="0.25">
      <c r="A16" s="24" t="s">
        <v>318</v>
      </c>
      <c r="B16" s="2" t="s">
        <v>283</v>
      </c>
      <c r="C16" s="23" t="s">
        <v>74</v>
      </c>
      <c r="D16" s="7" t="s">
        <v>297</v>
      </c>
      <c r="E16" s="7" t="s">
        <v>69</v>
      </c>
      <c r="F16" s="7" t="s">
        <v>309</v>
      </c>
    </row>
    <row r="17" spans="1:6" x14ac:dyDescent="0.25">
      <c r="A17" s="24" t="s">
        <v>319</v>
      </c>
      <c r="B17" s="16" t="s">
        <v>287</v>
      </c>
      <c r="C17" s="20" t="s">
        <v>73</v>
      </c>
      <c r="D17" s="7" t="s">
        <v>297</v>
      </c>
      <c r="E17" s="7" t="s">
        <v>69</v>
      </c>
      <c r="F17" s="7" t="s">
        <v>309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F31" sqref="F31"/>
    </sheetView>
  </sheetViews>
  <sheetFormatPr defaultRowHeight="15" x14ac:dyDescent="0.25"/>
  <cols>
    <col min="1" max="1" width="19" bestFit="1" customWidth="1"/>
    <col min="2" max="2" width="10" bestFit="1" customWidth="1"/>
    <col min="3" max="3" width="11" bestFit="1" customWidth="1"/>
    <col min="4" max="4" width="10.85546875" bestFit="1" customWidth="1"/>
  </cols>
  <sheetData>
    <row r="1" spans="1:4" x14ac:dyDescent="0.25">
      <c r="A1" s="18" t="s">
        <v>0</v>
      </c>
      <c r="B1" s="18" t="s">
        <v>297</v>
      </c>
      <c r="C1" s="18" t="s">
        <v>298</v>
      </c>
      <c r="D1" s="18" t="s">
        <v>299</v>
      </c>
    </row>
    <row r="2" spans="1:4" x14ac:dyDescent="0.25">
      <c r="A2" t="s">
        <v>282</v>
      </c>
      <c r="B2" s="8">
        <v>375</v>
      </c>
      <c r="C2" s="8">
        <v>200</v>
      </c>
      <c r="D2" s="8">
        <v>40</v>
      </c>
    </row>
    <row r="3" spans="1:4" x14ac:dyDescent="0.25">
      <c r="A3" t="s">
        <v>284</v>
      </c>
      <c r="B3" s="8">
        <v>175</v>
      </c>
      <c r="C3" s="8">
        <v>115</v>
      </c>
      <c r="D3" s="8">
        <v>20</v>
      </c>
    </row>
    <row r="4" spans="1:4" x14ac:dyDescent="0.25">
      <c r="A4" t="s">
        <v>286</v>
      </c>
      <c r="B4" s="8">
        <v>350</v>
      </c>
      <c r="C4" s="8">
        <v>121</v>
      </c>
      <c r="D4" s="8">
        <v>36</v>
      </c>
    </row>
    <row r="5" spans="1:4" x14ac:dyDescent="0.25">
      <c r="A5" t="s">
        <v>288</v>
      </c>
      <c r="B5" s="8">
        <v>232</v>
      </c>
      <c r="C5" s="8">
        <v>110</v>
      </c>
      <c r="D5" s="8">
        <v>24</v>
      </c>
    </row>
    <row r="6" spans="1:4" x14ac:dyDescent="0.25">
      <c r="A6" t="s">
        <v>290</v>
      </c>
      <c r="B6" s="8">
        <v>234</v>
      </c>
      <c r="C6" s="8">
        <v>105</v>
      </c>
      <c r="D6" s="8">
        <v>27</v>
      </c>
    </row>
    <row r="7" spans="1:4" x14ac:dyDescent="0.25">
      <c r="A7" t="s">
        <v>291</v>
      </c>
      <c r="B7" s="8">
        <v>238</v>
      </c>
      <c r="C7" s="8">
        <v>216</v>
      </c>
      <c r="D7" s="8">
        <v>29</v>
      </c>
    </row>
    <row r="8" spans="1:4" x14ac:dyDescent="0.25">
      <c r="A8" t="s">
        <v>292</v>
      </c>
      <c r="B8" s="8">
        <v>220</v>
      </c>
      <c r="C8" s="8">
        <v>144</v>
      </c>
      <c r="D8" s="8">
        <v>24</v>
      </c>
    </row>
    <row r="9" spans="1:4" x14ac:dyDescent="0.25">
      <c r="A9" t="s">
        <v>294</v>
      </c>
      <c r="B9" s="8">
        <v>425</v>
      </c>
      <c r="C9" s="8">
        <v>150</v>
      </c>
      <c r="D9" s="8">
        <v>42</v>
      </c>
    </row>
    <row r="10" spans="1:4" x14ac:dyDescent="0.25">
      <c r="A10" t="s">
        <v>295</v>
      </c>
      <c r="B10" s="8">
        <v>370</v>
      </c>
      <c r="C10" s="8">
        <v>210</v>
      </c>
      <c r="D10" s="8">
        <v>35</v>
      </c>
    </row>
    <row r="11" spans="1:4" x14ac:dyDescent="0.25">
      <c r="A11" t="s">
        <v>296</v>
      </c>
      <c r="B11" s="8">
        <v>300</v>
      </c>
      <c r="C11" s="8">
        <v>195</v>
      </c>
      <c r="D11" s="8">
        <v>33</v>
      </c>
    </row>
    <row r="12" spans="1:4" x14ac:dyDescent="0.25">
      <c r="A12" t="s">
        <v>305</v>
      </c>
      <c r="B12" s="8">
        <v>175</v>
      </c>
      <c r="C12" s="8">
        <v>115</v>
      </c>
      <c r="D12" s="8">
        <v>20</v>
      </c>
    </row>
    <row r="13" spans="1:4" x14ac:dyDescent="0.25">
      <c r="A13" s="24" t="s">
        <v>314</v>
      </c>
      <c r="B13" s="8">
        <v>175</v>
      </c>
      <c r="C13" s="8">
        <v>115</v>
      </c>
      <c r="D13" s="8">
        <v>20</v>
      </c>
    </row>
    <row r="14" spans="1:4" x14ac:dyDescent="0.25">
      <c r="A14" s="24" t="s">
        <v>316</v>
      </c>
      <c r="B14" s="8">
        <v>175</v>
      </c>
      <c r="C14" s="8">
        <v>115</v>
      </c>
      <c r="D14" s="8">
        <v>20</v>
      </c>
    </row>
    <row r="15" spans="1:4" x14ac:dyDescent="0.25">
      <c r="A15" s="24" t="s">
        <v>317</v>
      </c>
      <c r="B15" s="8">
        <v>175</v>
      </c>
      <c r="C15" s="8">
        <v>115</v>
      </c>
      <c r="D15" s="8">
        <v>20</v>
      </c>
    </row>
    <row r="16" spans="1:4" x14ac:dyDescent="0.25">
      <c r="A16" s="24" t="s">
        <v>318</v>
      </c>
      <c r="B16" s="8">
        <v>175</v>
      </c>
      <c r="C16" s="8">
        <v>115</v>
      </c>
      <c r="D16" s="8">
        <v>20</v>
      </c>
    </row>
    <row r="17" spans="1:4" x14ac:dyDescent="0.25">
      <c r="A17" s="24" t="s">
        <v>319</v>
      </c>
      <c r="B17" s="8">
        <v>175</v>
      </c>
      <c r="C17" s="8">
        <v>115</v>
      </c>
      <c r="D17" s="8">
        <v>20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A3" sqref="A3"/>
    </sheetView>
  </sheetViews>
  <sheetFormatPr defaultRowHeight="15" x14ac:dyDescent="0.25"/>
  <cols>
    <col min="1" max="1" width="24.42578125" customWidth="1"/>
    <col min="2" max="2" width="21.140625" customWidth="1"/>
    <col min="3" max="3" width="21.28515625" customWidth="1"/>
    <col min="4" max="4" width="15.5703125" customWidth="1"/>
    <col min="5" max="5" width="23.85546875" customWidth="1"/>
  </cols>
  <sheetData>
    <row r="1" spans="1:4" x14ac:dyDescent="0.25">
      <c r="A1" s="18" t="s">
        <v>0</v>
      </c>
      <c r="B1" s="18" t="s">
        <v>1</v>
      </c>
      <c r="C1" s="18" t="s">
        <v>444</v>
      </c>
      <c r="D1" s="18" t="s">
        <v>327</v>
      </c>
    </row>
    <row r="2" spans="1:4" x14ac:dyDescent="0.25">
      <c r="A2" s="7" t="s">
        <v>324</v>
      </c>
      <c r="B2" t="s">
        <v>326</v>
      </c>
      <c r="C2" s="7" t="s">
        <v>325</v>
      </c>
      <c r="D2" s="7" t="s">
        <v>328</v>
      </c>
    </row>
    <row r="3" spans="1:4" x14ac:dyDescent="0.25">
      <c r="A3" s="7" t="s">
        <v>462</v>
      </c>
      <c r="B3" t="s">
        <v>326</v>
      </c>
      <c r="C3" s="7" t="s">
        <v>325</v>
      </c>
      <c r="D3" s="7" t="s">
        <v>328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7" sqref="C17"/>
    </sheetView>
  </sheetViews>
  <sheetFormatPr defaultRowHeight="15" x14ac:dyDescent="0.25"/>
  <cols>
    <col min="1" max="1" width="14.140625" customWidth="1"/>
    <col min="2" max="2" width="13" customWidth="1"/>
    <col min="3" max="3" width="15.140625" customWidth="1"/>
  </cols>
  <sheetData>
    <row r="1" spans="1:5" x14ac:dyDescent="0.25">
      <c r="A1" s="18" t="s">
        <v>329</v>
      </c>
      <c r="B1" s="18" t="s">
        <v>330</v>
      </c>
      <c r="C1" s="18" t="s">
        <v>331</v>
      </c>
      <c r="D1" s="18" t="s">
        <v>332</v>
      </c>
      <c r="E1" s="18" t="s">
        <v>450</v>
      </c>
    </row>
    <row r="2" spans="1:5" x14ac:dyDescent="0.25">
      <c r="A2" s="7" t="s">
        <v>324</v>
      </c>
      <c r="B2" s="7">
        <v>1</v>
      </c>
      <c r="C2" s="24" t="s">
        <v>333</v>
      </c>
      <c r="D2" s="7">
        <v>5</v>
      </c>
      <c r="E2" t="b">
        <v>0</v>
      </c>
    </row>
    <row r="3" spans="1:5" x14ac:dyDescent="0.25">
      <c r="A3" s="7" t="s">
        <v>324</v>
      </c>
      <c r="B3" s="7">
        <v>2</v>
      </c>
      <c r="C3" s="24" t="s">
        <v>333</v>
      </c>
      <c r="D3" s="7">
        <v>5</v>
      </c>
      <c r="E3" t="b">
        <v>0</v>
      </c>
    </row>
    <row r="4" spans="1:5" x14ac:dyDescent="0.25">
      <c r="A4" s="7" t="s">
        <v>324</v>
      </c>
      <c r="B4" s="7">
        <v>3</v>
      </c>
      <c r="C4" s="24" t="s">
        <v>333</v>
      </c>
      <c r="D4" s="7">
        <v>5</v>
      </c>
      <c r="E4" t="b">
        <v>0</v>
      </c>
    </row>
    <row r="5" spans="1:5" x14ac:dyDescent="0.25">
      <c r="A5" s="7" t="s">
        <v>324</v>
      </c>
      <c r="B5" s="7">
        <v>4</v>
      </c>
      <c r="C5" s="24" t="s">
        <v>316</v>
      </c>
      <c r="D5" s="7">
        <v>5</v>
      </c>
      <c r="E5" t="b">
        <v>0</v>
      </c>
    </row>
    <row r="6" spans="1:5" x14ac:dyDescent="0.25">
      <c r="A6" s="5" t="s">
        <v>324</v>
      </c>
      <c r="B6" s="5">
        <v>5</v>
      </c>
      <c r="C6" s="23" t="s">
        <v>318</v>
      </c>
      <c r="D6" s="5">
        <v>5</v>
      </c>
      <c r="E6" t="b">
        <v>1</v>
      </c>
    </row>
    <row r="7" spans="1:5" x14ac:dyDescent="0.25">
      <c r="A7" s="7" t="s">
        <v>324</v>
      </c>
      <c r="B7" s="7">
        <v>6</v>
      </c>
      <c r="C7" s="24" t="s">
        <v>317</v>
      </c>
      <c r="D7" s="7">
        <v>5</v>
      </c>
      <c r="E7" t="b">
        <v>0</v>
      </c>
    </row>
    <row r="8" spans="1:5" x14ac:dyDescent="0.25">
      <c r="A8" s="7" t="s">
        <v>462</v>
      </c>
      <c r="B8" s="7">
        <v>1</v>
      </c>
      <c r="C8" s="24" t="s">
        <v>333</v>
      </c>
      <c r="D8" s="7">
        <v>5</v>
      </c>
      <c r="E8" t="b">
        <v>0</v>
      </c>
    </row>
    <row r="9" spans="1:5" x14ac:dyDescent="0.25">
      <c r="A9" s="7" t="s">
        <v>462</v>
      </c>
      <c r="B9" s="7">
        <v>2</v>
      </c>
      <c r="C9" s="24" t="s">
        <v>314</v>
      </c>
      <c r="D9" s="7">
        <v>5</v>
      </c>
      <c r="E9" t="b">
        <v>0</v>
      </c>
    </row>
    <row r="10" spans="1:5" x14ac:dyDescent="0.25">
      <c r="A10" s="7" t="s">
        <v>462</v>
      </c>
      <c r="B10" s="7">
        <v>3</v>
      </c>
      <c r="C10" s="24" t="s">
        <v>319</v>
      </c>
      <c r="D10" s="7">
        <v>5</v>
      </c>
      <c r="E10" t="b">
        <v>0</v>
      </c>
    </row>
    <row r="11" spans="1:5" x14ac:dyDescent="0.25">
      <c r="A11" s="7" t="s">
        <v>462</v>
      </c>
      <c r="B11" s="7">
        <v>5</v>
      </c>
      <c r="C11" s="24" t="s">
        <v>318</v>
      </c>
      <c r="D11" s="7">
        <v>5</v>
      </c>
      <c r="E11" t="b">
        <v>1</v>
      </c>
    </row>
    <row r="12" spans="1:5" x14ac:dyDescent="0.25">
      <c r="A12" s="7" t="s">
        <v>462</v>
      </c>
      <c r="B12" s="7">
        <v>4</v>
      </c>
      <c r="C12" s="24" t="s">
        <v>316</v>
      </c>
      <c r="D12" s="7">
        <v>5</v>
      </c>
      <c r="E12" t="b">
        <v>0</v>
      </c>
    </row>
    <row r="13" spans="1:5" x14ac:dyDescent="0.25">
      <c r="A13" s="7" t="s">
        <v>462</v>
      </c>
      <c r="B13" s="7">
        <v>6</v>
      </c>
      <c r="C13" s="24" t="s">
        <v>317</v>
      </c>
      <c r="D13" s="7">
        <v>5</v>
      </c>
      <c r="E13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Item_Master</vt:lpstr>
      <vt:lpstr>Item_Detail</vt:lpstr>
      <vt:lpstr>Weapon</vt:lpstr>
      <vt:lpstr>Armor</vt:lpstr>
      <vt:lpstr>Character</vt:lpstr>
      <vt:lpstr>SkillConfig</vt:lpstr>
      <vt:lpstr>EffectConfig</vt:lpstr>
      <vt:lpstr>CharacterStat</vt:lpstr>
      <vt:lpstr>CharacterAttribute</vt:lpstr>
      <vt:lpstr>CharacterUpgrade</vt:lpstr>
      <vt:lpstr>BattleConfig</vt:lpstr>
      <vt:lpstr>StageEnemies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2026-03-27T09:07:58Z</dcterms:modified>
</cp:coreProperties>
</file>