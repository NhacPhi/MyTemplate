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5" autoFilterDateGrouping="1"/>
  </bookViews>
  <sheets>
    <sheet name="Item_Master" sheetId="1" state="visible" r:id="rId1"/>
    <sheet name="Item_Detail" sheetId="2" state="visible" r:id="rId2"/>
    <sheet name="Weapon" sheetId="3" state="visible" r:id="rId3"/>
    <sheet name="Passives" sheetId="4" state="visible" r:id="rId4"/>
    <sheet name="StaticModifiers" sheetId="5" state="visible" r:id="rId5"/>
    <sheet name="CombatEvents" sheetId="6" state="visible" r:id="rId6"/>
    <sheet name="EffectConfig" sheetId="7" state="visible" r:id="rId7"/>
    <sheet name="Armor" sheetId="8" state="visible" r:id="rId8"/>
    <sheet name="SubstatPool" sheetId="9" state="visible" r:id="rId9"/>
    <sheet name="SetBonusConfig" sheetId="10" state="visible" r:id="rId10"/>
    <sheet name="Character" sheetId="11" state="visible" r:id="rId11"/>
    <sheet name="CharacterStat" sheetId="12" state="visible" r:id="rId12"/>
    <sheet name="SkillConfig" sheetId="13" state="visible" r:id="rId13"/>
    <sheet name="CharacterUpgrade" sheetId="14" state="visible" r:id="rId14"/>
    <sheet name="CharacterAttribute" sheetId="15" state="visible" r:id="rId15"/>
    <sheet name="ExpCurvesConfig" sheetId="16" state="visible" r:id="rId16"/>
    <sheet name="AscensionConfig" sheetId="17" state="visible" r:id="rId17"/>
    <sheet name="StarUp" sheetId="18" state="visible" r:id="rId18"/>
    <sheet name="BattleConfig" sheetId="19" state="visible" r:id="rId19"/>
    <sheet name="StageEnemies" sheetId="20" state="visible" r:id="rId20"/>
    <sheet name="RewardConfig" sheetId="21" state="visible" r:id="rId21"/>
    <sheet name="Stat_Matrix" sheetId="22" state="visible" r:id="rId22"/>
  </sheets>
  <definedNames>
    <definedName name="_xlnm._FilterDatabase" localSheetId="0" hidden="1">'Item_Master'!$A$1:$A$117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family val="2"/>
      <color rgb="FF1F1F1F"/>
      <sz val="11"/>
    </font>
  </fonts>
  <fills count="2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3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3" borderId="0" pivotButton="0" quotePrefix="0" xfId="0"/>
    <xf numFmtId="0" fontId="0" fillId="9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6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6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0" fillId="17" borderId="0" pivotButton="0" quotePrefix="0" xfId="0"/>
    <xf numFmtId="0" fontId="1" fillId="16" borderId="0" applyAlignment="1" pivotButton="0" quotePrefix="0" xfId="0">
      <alignment vertical="center" readingOrder="1"/>
    </xf>
    <xf numFmtId="0" fontId="1" fillId="0" borderId="0" applyAlignment="1" pivotButton="0" quotePrefix="0" xfId="0">
      <alignment vertical="center" readingOrder="1"/>
    </xf>
    <xf numFmtId="0" fontId="0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0" applyAlignment="1" pivotButton="0" quotePrefix="0" xfId="0">
      <alignment horizontal="left"/>
    </xf>
    <xf numFmtId="0" fontId="0" fillId="1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"/>
  <sheetViews>
    <sheetView zoomScale="115" zoomScaleNormal="115" workbookViewId="0">
      <selection activeCell="A19" sqref="A19"/>
    </sheetView>
  </sheetViews>
  <sheetFormatPr baseColWidth="8" defaultRowHeight="15"/>
  <cols>
    <col width="26" bestFit="1" customWidth="1" style="35" min="1" max="1"/>
    <col width="38.7109375" bestFit="1" customWidth="1" style="35" min="2" max="2"/>
    <col width="33.42578125" bestFit="1" customWidth="1" style="35" min="3" max="3"/>
    <col width="37.5703125" bestFit="1" customWidth="1" style="35" min="4" max="4"/>
    <col width="10.85546875" bestFit="1" customWidth="1" style="35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UseDescription</t>
        </is>
      </c>
      <c r="E1" s="1" t="inlineStr">
        <is>
          <t>ItemType</t>
        </is>
      </c>
      <c r="F1" s="1" t="inlineStr">
        <is>
          <t>Rarity</t>
        </is>
      </c>
      <c r="G1" s="1" t="inlineStr">
        <is>
          <t>AtlasGroup</t>
        </is>
      </c>
    </row>
    <row r="2">
      <c r="A2" s="10" t="inlineStr">
        <is>
          <t>Nimbus_Cudgel</t>
        </is>
      </c>
      <c r="B2" t="inlineStr">
        <is>
          <t>STR_NIMBUS_CUDGEL_NAME</t>
        </is>
      </c>
      <c r="C2" t="inlineStr">
        <is>
          <t>STR_NIMBUS_CUDGEL_DES</t>
        </is>
      </c>
      <c r="D2" t="inlineStr">
        <is>
          <t>STR_NIMBUS_CUDGEL_SKILL</t>
        </is>
      </c>
      <c r="E2" s="36" t="inlineStr">
        <is>
          <t>Weapon</t>
        </is>
      </c>
      <c r="F2" s="2" t="inlineStr">
        <is>
          <t>Legendary</t>
        </is>
      </c>
    </row>
    <row r="3">
      <c r="A3" s="10" t="inlineStr">
        <is>
          <t>Triple_Edged_Blade</t>
        </is>
      </c>
      <c r="B3" t="inlineStr">
        <is>
          <t>STR_TRIPLE_EDGED_BLADE_NAME</t>
        </is>
      </c>
      <c r="C3" t="inlineStr">
        <is>
          <t>STR_TRIPLE_EDGED_BLADE_DES</t>
        </is>
      </c>
      <c r="D3" t="inlineStr">
        <is>
          <t>STR_TRIPLE_EDGED_BLADE_SKILL</t>
        </is>
      </c>
      <c r="E3" s="36" t="inlineStr">
        <is>
          <t>Weapon</t>
        </is>
      </c>
      <c r="F3" s="2" t="inlineStr">
        <is>
          <t>Legendary</t>
        </is>
      </c>
    </row>
    <row r="4">
      <c r="A4" s="10" t="inlineStr">
        <is>
          <t>Vanguard_Of_Volition</t>
        </is>
      </c>
      <c r="B4" t="inlineStr">
        <is>
          <t>STR_VANGUARD_OF_VOLITION_NAME</t>
        </is>
      </c>
      <c r="C4" t="inlineStr">
        <is>
          <t>STR_VANGUARD_OF_VOLITION_DES</t>
        </is>
      </c>
      <c r="D4" t="inlineStr">
        <is>
          <t>STR_VANGUARD_OF_VOLITION_SKILL</t>
        </is>
      </c>
      <c r="E4" s="36" t="inlineStr">
        <is>
          <t>Weapon</t>
        </is>
      </c>
      <c r="F4" s="2" t="inlineStr">
        <is>
          <t>Legendary</t>
        </is>
      </c>
    </row>
    <row r="5">
      <c r="A5" s="10" t="inlineStr">
        <is>
          <t>Ninefold_Staff</t>
        </is>
      </c>
      <c r="B5" t="inlineStr">
        <is>
          <t>STR_NINEFOLD_STAFF_NAME</t>
        </is>
      </c>
      <c r="C5" t="inlineStr">
        <is>
          <t>STR_NINEFOLD_STAFF_DES</t>
        </is>
      </c>
      <c r="D5" t="inlineStr">
        <is>
          <t>STR_NINEFOLD_STAFF_SKILL</t>
        </is>
      </c>
      <c r="E5" s="36" t="inlineStr">
        <is>
          <t>Weapon</t>
        </is>
      </c>
      <c r="F5" s="3" t="inlineStr">
        <is>
          <t>Rare</t>
        </is>
      </c>
    </row>
    <row r="6">
      <c r="A6" s="10" t="inlineStr">
        <is>
          <t>Nine_ToolThed_Rake</t>
        </is>
      </c>
      <c r="B6" t="inlineStr">
        <is>
          <t>STR_NINE_TOOLTHED_RAKE_NAME</t>
        </is>
      </c>
      <c r="C6" t="inlineStr">
        <is>
          <t>STR_NINE_TOOLTHED_RAKE_DES</t>
        </is>
      </c>
      <c r="D6" t="inlineStr">
        <is>
          <t>STR_NINE_TOOLTHED_RAKE_SKILL</t>
        </is>
      </c>
      <c r="E6" s="36" t="inlineStr">
        <is>
          <t>Weapon</t>
        </is>
      </c>
      <c r="F6" s="2" t="inlineStr">
        <is>
          <t>Legendary</t>
        </is>
      </c>
    </row>
    <row r="7">
      <c r="A7" s="10" t="inlineStr">
        <is>
          <t>Nimbus_Cloud</t>
        </is>
      </c>
      <c r="B7" t="inlineStr">
        <is>
          <t>STR_NIMBUS_CLOUD_NAME</t>
        </is>
      </c>
      <c r="C7" t="inlineStr">
        <is>
          <t>STR_NIMBUS_CLOUD_DES</t>
        </is>
      </c>
      <c r="D7" t="inlineStr">
        <is>
          <t>STR_NIMBUS_CLOUD_SKILL</t>
        </is>
      </c>
      <c r="E7" s="36" t="inlineStr">
        <is>
          <t>Weapon</t>
        </is>
      </c>
      <c r="F7" s="3" t="inlineStr">
        <is>
          <t>Rare</t>
        </is>
      </c>
    </row>
    <row r="8">
      <c r="A8" s="10" t="inlineStr">
        <is>
          <t>Sunburst_Spade</t>
        </is>
      </c>
      <c r="B8" t="inlineStr">
        <is>
          <t>STR_SUNBURST_SPADE_NAME</t>
        </is>
      </c>
      <c r="C8" t="inlineStr">
        <is>
          <t>STR_SUNBURST_SPADE_DES</t>
        </is>
      </c>
      <c r="D8" t="inlineStr">
        <is>
          <t>STR_SUNBURST_SPADE_SKILL</t>
        </is>
      </c>
      <c r="E8" s="36" t="inlineStr">
        <is>
          <t>Weapon</t>
        </is>
      </c>
      <c r="F8" s="4" t="inlineStr">
        <is>
          <t>Common</t>
        </is>
      </c>
    </row>
    <row r="9">
      <c r="A9" s="10" t="inlineStr">
        <is>
          <t>Reincarnation</t>
        </is>
      </c>
      <c r="B9" t="inlineStr">
        <is>
          <t>STR_REINCARNATION_NAME</t>
        </is>
      </c>
      <c r="C9" t="inlineStr">
        <is>
          <t>STR_REINCARNATION_DES</t>
        </is>
      </c>
      <c r="D9" t="inlineStr">
        <is>
          <t>STR_REINCARNATION_SKILL</t>
        </is>
      </c>
      <c r="E9" s="36" t="inlineStr">
        <is>
          <t>Weapon</t>
        </is>
      </c>
      <c r="F9" s="5" t="inlineStr">
        <is>
          <t>Epic</t>
        </is>
      </c>
    </row>
    <row r="10">
      <c r="A10" s="10" t="inlineStr">
        <is>
          <t>Ennead_spear</t>
        </is>
      </c>
      <c r="B10" t="inlineStr">
        <is>
          <t>STR_ENNEAD_SPEAR_NAME</t>
        </is>
      </c>
      <c r="C10" t="inlineStr">
        <is>
          <t>STR_ENNEAD_SPEAR_DES</t>
        </is>
      </c>
      <c r="D10" t="inlineStr">
        <is>
          <t>STR_ENNEAD_SPEAR_SKILL</t>
        </is>
      </c>
      <c r="E10" s="36" t="inlineStr">
        <is>
          <t>Weapon</t>
        </is>
      </c>
      <c r="F10" s="6" t="inlineStr">
        <is>
          <t>Uncommon</t>
        </is>
      </c>
    </row>
    <row r="11">
      <c r="A11" s="10" t="inlineStr">
        <is>
          <t>Crescent_Axe</t>
        </is>
      </c>
      <c r="B11" t="inlineStr">
        <is>
          <t>STR_CRESCENT_AXE_NAME</t>
        </is>
      </c>
      <c r="C11" t="inlineStr">
        <is>
          <t>STR_CRESCENT_AXE_DES</t>
        </is>
      </c>
      <c r="D11" t="inlineStr">
        <is>
          <t>STR_CRESCENT_AXE_SKILL</t>
        </is>
      </c>
      <c r="E11" s="36" t="inlineStr">
        <is>
          <t>Weapon</t>
        </is>
      </c>
      <c r="F11" s="4" t="inlineStr">
        <is>
          <t>Common</t>
        </is>
      </c>
    </row>
    <row r="12">
      <c r="A12" s="10" t="inlineStr">
        <is>
          <t>Bronze_Hammer</t>
        </is>
      </c>
      <c r="B12" t="inlineStr">
        <is>
          <t>STR_BRONZE_HAMMER_NAME</t>
        </is>
      </c>
      <c r="C12" t="inlineStr">
        <is>
          <t>STR_BRONZE_HAMMER_DES</t>
        </is>
      </c>
      <c r="D12" t="inlineStr">
        <is>
          <t>STR_BRONZE_HAMMER_SKILL</t>
        </is>
      </c>
      <c r="E12" s="36" t="inlineStr">
        <is>
          <t>Weapon</t>
        </is>
      </c>
      <c r="F12" s="6" t="inlineStr">
        <is>
          <t>Uncommon</t>
        </is>
      </c>
    </row>
    <row r="13">
      <c r="A13" s="10" t="inlineStr">
        <is>
          <t>Moonlit_Firelfy</t>
        </is>
      </c>
      <c r="B13" t="inlineStr">
        <is>
          <t>STR_MOONLIT_FIREFLY_NAME</t>
        </is>
      </c>
      <c r="C13" t="inlineStr">
        <is>
          <t>STR_MOONLIT_FIREFLY_DES</t>
        </is>
      </c>
      <c r="D13" t="inlineStr">
        <is>
          <t>STR_MOONLIT_FIREFLY_SKILL</t>
        </is>
      </c>
      <c r="E13" s="36" t="inlineStr">
        <is>
          <t>Weapon</t>
        </is>
      </c>
      <c r="F13" s="2" t="inlineStr">
        <is>
          <t>Legendary</t>
        </is>
      </c>
    </row>
    <row r="14">
      <c r="A14" s="10" t="inlineStr">
        <is>
          <t>Plantain_Fan</t>
        </is>
      </c>
      <c r="B14" t="inlineStr">
        <is>
          <t>STR_PLANTAIN_FAN_NAME</t>
        </is>
      </c>
      <c r="C14" t="inlineStr">
        <is>
          <t>STR_PLANTAIN_FAN_DES</t>
        </is>
      </c>
      <c r="D14" t="inlineStr">
        <is>
          <t>STR_PLANTAIN_FAN_SKILL</t>
        </is>
      </c>
      <c r="E14" s="36" t="inlineStr">
        <is>
          <t>Weapon</t>
        </is>
      </c>
      <c r="F14" s="5" t="inlineStr">
        <is>
          <t>Epic</t>
        </is>
      </c>
    </row>
    <row r="15">
      <c r="A15" s="10" t="inlineStr">
        <is>
          <t>Wings_of_Phoenix</t>
        </is>
      </c>
      <c r="B15" t="inlineStr">
        <is>
          <t>STR_WINGS_OF_PHOENIX_NAME</t>
        </is>
      </c>
      <c r="C15" t="inlineStr">
        <is>
          <t>STR_WINGS_OF_PHOENIX_DES</t>
        </is>
      </c>
      <c r="D15" t="inlineStr">
        <is>
          <t>STR_WINGS_OF_PHOENIX_SKILL</t>
        </is>
      </c>
      <c r="E15" s="36" t="inlineStr">
        <is>
          <t>Weapon</t>
        </is>
      </c>
      <c r="F15" s="2" t="inlineStr">
        <is>
          <t>Legendary</t>
        </is>
      </c>
    </row>
    <row r="16">
      <c r="A16" s="10" t="inlineStr">
        <is>
          <t>Wooden_Staff</t>
        </is>
      </c>
      <c r="B16" t="inlineStr">
        <is>
          <t>STR_CRESCENT_AXE_NAME</t>
        </is>
      </c>
      <c r="C16" t="inlineStr">
        <is>
          <t>STR_CRESCENT_AXE_DES</t>
        </is>
      </c>
      <c r="D16" t="inlineStr">
        <is>
          <t>STR_CRESCENT_AXE_SKILL</t>
        </is>
      </c>
      <c r="E16" s="36" t="inlineStr">
        <is>
          <t>Weapon</t>
        </is>
      </c>
      <c r="F16" s="5" t="inlineStr">
        <is>
          <t>Epic</t>
        </is>
      </c>
    </row>
    <row r="17">
      <c r="A17" s="10" t="inlineStr">
        <is>
          <t>Windfire_Wheel</t>
        </is>
      </c>
      <c r="B17" t="inlineStr">
        <is>
          <t>STR_WINDFIRE_WHEEL</t>
        </is>
      </c>
      <c r="C17" t="inlineStr">
        <is>
          <t>STR_WINDFIRE_WHEEL_DES</t>
        </is>
      </c>
      <c r="D17" t="inlineStr">
        <is>
          <t>STR_WINDFIRE_WHEEL_SKILL</t>
        </is>
      </c>
      <c r="E17" s="36" t="inlineStr">
        <is>
          <t>Weapon</t>
        </is>
      </c>
      <c r="F17" s="2" t="inlineStr">
        <is>
          <t>Legendary</t>
        </is>
      </c>
    </row>
    <row r="18">
      <c r="A18" s="10" t="inlineStr">
        <is>
          <t>LingLong_Pagoda</t>
        </is>
      </c>
      <c r="B18" t="inlineStr">
        <is>
          <t>STR_LINGLONG_PAGODA_NAME</t>
        </is>
      </c>
      <c r="C18" t="inlineStr">
        <is>
          <t>STR_LINGLONG_PAGODA_DES</t>
        </is>
      </c>
      <c r="D18" t="inlineStr">
        <is>
          <t>STR_LINGLONG_PAGODA_SKILL</t>
        </is>
      </c>
      <c r="E18" t="inlineStr">
        <is>
          <t>Weapon</t>
        </is>
      </c>
      <c r="F18" s="2" t="inlineStr">
        <is>
          <t>Legendary</t>
        </is>
      </c>
    </row>
    <row r="19">
      <c r="A19" s="10" t="inlineStr">
        <is>
          <t>Ferrous_Chaos</t>
        </is>
      </c>
      <c r="B19" t="inlineStr">
        <is>
          <t>STR_FERROUS_CHAOS_NAME</t>
        </is>
      </c>
      <c r="C19" t="inlineStr">
        <is>
          <t>STR_LINGLONG_PAGODA_DES</t>
        </is>
      </c>
      <c r="D19" t="inlineStr">
        <is>
          <t>STR_LINGLONG_PAGODA_SKILL</t>
        </is>
      </c>
      <c r="E19" t="inlineStr">
        <is>
          <t>Weapon</t>
        </is>
      </c>
      <c r="F19" s="2" t="inlineStr">
        <is>
          <t>Legendary</t>
        </is>
      </c>
    </row>
    <row r="20">
      <c r="A20" s="9" t="inlineStr">
        <is>
          <t>Lamian_Noodies</t>
        </is>
      </c>
      <c r="B20" t="inlineStr">
        <is>
          <t>STR_LAMIAN_NOODIES_NAME</t>
        </is>
      </c>
      <c r="C20" t="inlineStr">
        <is>
          <t>STR_LAMIAN_NOODIES_DES</t>
        </is>
      </c>
      <c r="D20" t="inlineStr">
        <is>
          <t>STR_LAMIAN_NOODIES_USEFUL</t>
        </is>
      </c>
      <c r="E20" s="36" t="inlineStr">
        <is>
          <t>Food</t>
        </is>
      </c>
      <c r="F20" s="5" t="inlineStr">
        <is>
          <t>Epic</t>
        </is>
      </c>
    </row>
    <row r="21">
      <c r="A21" s="9" t="inlineStr">
        <is>
          <t>Tofu_Soup</t>
        </is>
      </c>
      <c r="B21" t="inlineStr">
        <is>
          <t>STR_TOFU_SOUP_NAME</t>
        </is>
      </c>
      <c r="C21" t="inlineStr">
        <is>
          <t>STR_TOFU_SOUP_USEFUL</t>
        </is>
      </c>
      <c r="D21" t="inlineStr">
        <is>
          <t>STR_TOFU_SOUP_USEFUL</t>
        </is>
      </c>
      <c r="E21" s="36" t="inlineStr">
        <is>
          <t>Food</t>
        </is>
      </c>
      <c r="F21" s="6" t="inlineStr">
        <is>
          <t>Uncommon</t>
        </is>
      </c>
    </row>
    <row r="22">
      <c r="A22" s="9" t="inlineStr">
        <is>
          <t>Murshroom_Steamed_Buns</t>
        </is>
      </c>
      <c r="B22" t="inlineStr">
        <is>
          <t>STR_MUSHROOM_STEAMED_BUNS_NAME</t>
        </is>
      </c>
      <c r="C22" t="inlineStr">
        <is>
          <t>STR_MUSHROOM_STEAMED_BUNS_DES</t>
        </is>
      </c>
      <c r="D22" t="inlineStr">
        <is>
          <t>STR_MUSHROOM_STEAMED_BUNS_SKILL</t>
        </is>
      </c>
      <c r="E22" s="36" t="inlineStr">
        <is>
          <t>Food</t>
        </is>
      </c>
      <c r="F22" s="4" t="inlineStr">
        <is>
          <t>Common</t>
        </is>
      </c>
    </row>
    <row r="23">
      <c r="A23" s="9" t="inlineStr">
        <is>
          <t>Fried_Radish_Balls</t>
        </is>
      </c>
      <c r="B23" t="inlineStr">
        <is>
          <t>STR_FRIED_RADISH_BALLS_NAME</t>
        </is>
      </c>
      <c r="C23" t="inlineStr">
        <is>
          <t>STR_FRIED_RADISH_BALLS_DES</t>
        </is>
      </c>
      <c r="D23" t="inlineStr">
        <is>
          <t>STR_FRIED_RADISH_BALLS_USEFUL</t>
        </is>
      </c>
      <c r="E23" s="36" t="inlineStr">
        <is>
          <t>Food</t>
        </is>
      </c>
      <c r="F23" s="4" t="inlineStr">
        <is>
          <t>Common</t>
        </is>
      </c>
    </row>
    <row r="24">
      <c r="A24" s="9" t="inlineStr">
        <is>
          <t>Jade_Parcels</t>
        </is>
      </c>
      <c r="B24" t="inlineStr">
        <is>
          <t>STR_JADE_PARCELS_NAME</t>
        </is>
      </c>
      <c r="C24" t="inlineStr">
        <is>
          <t>STR_JADE_PARCELS_DES</t>
        </is>
      </c>
      <c r="D24" t="inlineStr">
        <is>
          <t>STR_JADE_PARCELS_USEFUL</t>
        </is>
      </c>
      <c r="E24" s="36" t="inlineStr">
        <is>
          <t>Food</t>
        </is>
      </c>
      <c r="F24" s="2" t="inlineStr">
        <is>
          <t>Legendary</t>
        </is>
      </c>
    </row>
    <row r="25">
      <c r="A25" s="9" t="inlineStr">
        <is>
          <t>Shirmp_Dumplings</t>
        </is>
      </c>
      <c r="B25" t="inlineStr">
        <is>
          <t>STR_SHRIMP_DUMPLINGS_NAME</t>
        </is>
      </c>
      <c r="C25" t="inlineStr">
        <is>
          <t>STR_SHRIMP_DUMPLINGS_DES</t>
        </is>
      </c>
      <c r="D25" t="inlineStr">
        <is>
          <t>STR_SHRIMP_DUMPLINGS_USEFUL</t>
        </is>
      </c>
      <c r="E25" s="36" t="inlineStr">
        <is>
          <t>Food</t>
        </is>
      </c>
      <c r="F25" s="3" t="inlineStr">
        <is>
          <t>Rare</t>
        </is>
      </c>
    </row>
    <row r="26">
      <c r="A26" s="9" t="inlineStr">
        <is>
          <t>Dragon_Bread_Noodies</t>
        </is>
      </c>
      <c r="B26" t="inlineStr">
        <is>
          <t>STR_DRAGON_BREAD_NOODIES_NAME</t>
        </is>
      </c>
      <c r="C26" t="inlineStr">
        <is>
          <t>STR_DRAGON_BREAD_NOODIES_DES</t>
        </is>
      </c>
      <c r="D26" t="inlineStr">
        <is>
          <t>STR_DRAGON_BREAD_NOODIES_USEFUL</t>
        </is>
      </c>
      <c r="E26" s="36" t="inlineStr">
        <is>
          <t>Food</t>
        </is>
      </c>
      <c r="F26" s="2" t="inlineStr">
        <is>
          <t>Legendary</t>
        </is>
      </c>
    </row>
    <row r="27">
      <c r="A27" s="9" t="inlineStr">
        <is>
          <t>Meat</t>
        </is>
      </c>
      <c r="B27" t="inlineStr">
        <is>
          <t>STR_MEAT_NAME</t>
        </is>
      </c>
      <c r="C27" t="inlineStr">
        <is>
          <t>STR_MEAT_DES</t>
        </is>
      </c>
      <c r="D27" t="inlineStr">
        <is>
          <t>STR_MEAT_USEFUL</t>
        </is>
      </c>
      <c r="E27" s="36" t="inlineStr">
        <is>
          <t>Food</t>
        </is>
      </c>
      <c r="F27" s="4" t="inlineStr">
        <is>
          <t>Common</t>
        </is>
      </c>
    </row>
    <row r="28">
      <c r="A28" s="9" t="inlineStr">
        <is>
          <t>Peach</t>
        </is>
      </c>
      <c r="B28" t="inlineStr">
        <is>
          <t>STR_PEACH_NAME</t>
        </is>
      </c>
      <c r="C28" t="inlineStr">
        <is>
          <t>STR_PEACH_DES</t>
        </is>
      </c>
      <c r="D28" t="inlineStr">
        <is>
          <t>STR_PEACH_USEFUL</t>
        </is>
      </c>
      <c r="E28" s="36" t="inlineStr">
        <is>
          <t>Food</t>
        </is>
      </c>
      <c r="F28" s="4" t="inlineStr">
        <is>
          <t>Common</t>
        </is>
      </c>
    </row>
    <row r="29">
      <c r="A29" s="9" t="inlineStr">
        <is>
          <t>Lotus</t>
        </is>
      </c>
      <c r="B29" t="inlineStr">
        <is>
          <t>STR_LOTUS_NAME</t>
        </is>
      </c>
      <c r="C29" t="inlineStr">
        <is>
          <t>STR_LOTUS_DES</t>
        </is>
      </c>
      <c r="D29" t="inlineStr">
        <is>
          <t>STR_LOTUS_USEFUL</t>
        </is>
      </c>
      <c r="E29" s="36" t="inlineStr">
        <is>
          <t>Food</t>
        </is>
      </c>
      <c r="F29" s="4" t="inlineStr">
        <is>
          <t>Common</t>
        </is>
      </c>
    </row>
    <row r="30">
      <c r="A30" t="inlineStr">
        <is>
          <t>Coin</t>
        </is>
      </c>
      <c r="B30" t="inlineStr">
        <is>
          <t>STR_COIN</t>
        </is>
      </c>
      <c r="C30" t="inlineStr">
        <is>
          <t>STR_COIN_DES</t>
        </is>
      </c>
      <c r="D30" t="inlineStr">
        <is>
          <t>STR_COIN_USE</t>
        </is>
      </c>
      <c r="E30" s="36" t="inlineStr">
        <is>
          <t>Currency</t>
        </is>
      </c>
      <c r="F30" s="2" t="inlineStr">
        <is>
          <t>Legendary</t>
        </is>
      </c>
    </row>
    <row r="31">
      <c r="A31" t="inlineStr">
        <is>
          <t>Jade</t>
        </is>
      </c>
      <c r="B31" t="inlineStr">
        <is>
          <t>STR_JADE</t>
        </is>
      </c>
      <c r="C31" t="inlineStr">
        <is>
          <t>STR_JADE_DES</t>
        </is>
      </c>
      <c r="D31" t="inlineStr">
        <is>
          <t>STR_JADE_USE</t>
        </is>
      </c>
      <c r="E31" s="36" t="inlineStr">
        <is>
          <t>Currency</t>
        </is>
      </c>
      <c r="F31" s="2" t="inlineStr">
        <is>
          <t>Legendary</t>
        </is>
      </c>
    </row>
    <row r="32">
      <c r="A32" t="inlineStr">
        <is>
          <t>RelicEssence</t>
        </is>
      </c>
      <c r="B32" t="inlineStr">
        <is>
          <t>STR_RELIC_ESSENCE</t>
        </is>
      </c>
      <c r="C32" t="inlineStr">
        <is>
          <t>STR_RELIC_ESSENCE_DES</t>
        </is>
      </c>
      <c r="D32" t="inlineStr">
        <is>
          <t>STR_RELIC_ESSENCE_USE</t>
        </is>
      </c>
      <c r="E32" s="36" t="inlineStr">
        <is>
          <t>Currency</t>
        </is>
      </c>
      <c r="F32" s="2" t="inlineStr">
        <is>
          <t>Legendary</t>
        </is>
      </c>
    </row>
    <row r="33">
      <c r="A33" t="inlineStr">
        <is>
          <t>ArmorPrimorite</t>
        </is>
      </c>
      <c r="B33" t="inlineStr">
        <is>
          <t>STR_ARMOR_PRIMORITE</t>
        </is>
      </c>
      <c r="C33" t="inlineStr">
        <is>
          <t>STR_ARMOR_PRIMORITE_DES</t>
        </is>
      </c>
      <c r="D33" t="inlineStr">
        <is>
          <t>STR_ARMOR_PRIMORITE_USE</t>
        </is>
      </c>
      <c r="E33" s="36" t="inlineStr">
        <is>
          <t>Currency</t>
        </is>
      </c>
      <c r="F33" s="2" t="inlineStr">
        <is>
          <t>Legendary</t>
        </is>
      </c>
    </row>
    <row r="34">
      <c r="A34" s="11" t="inlineStr">
        <is>
          <t>Garnet_Gemstone</t>
        </is>
      </c>
      <c r="B34" t="inlineStr">
        <is>
          <t>STR_GARNET_GEMSTONE_NAME</t>
        </is>
      </c>
      <c r="C34" t="inlineStr">
        <is>
          <t>STR_GARNET_GEMSTONE_DES</t>
        </is>
      </c>
      <c r="D34" t="inlineStr">
        <is>
          <t>STR_GEMSTONE_USEFUL</t>
        </is>
      </c>
      <c r="E34" s="36" t="inlineStr">
        <is>
          <t>Gemstone</t>
        </is>
      </c>
      <c r="F34" s="2" t="inlineStr">
        <is>
          <t>Legendary</t>
        </is>
      </c>
    </row>
    <row r="35">
      <c r="A35" s="11" t="inlineStr">
        <is>
          <t>Lapis_Lazuli_Gemstone</t>
        </is>
      </c>
      <c r="B35" t="inlineStr">
        <is>
          <t>STR_LAPIS_LAZULI_GEMSTONE_NAME</t>
        </is>
      </c>
      <c r="C35" t="inlineStr">
        <is>
          <t>STR_LAPIS_LAZULI_GEMSTONE_DES</t>
        </is>
      </c>
      <c r="D35" t="inlineStr">
        <is>
          <t>STR_GEMSTONE_USEFUL</t>
        </is>
      </c>
      <c r="E35" s="36" t="inlineStr">
        <is>
          <t>Gemstone</t>
        </is>
      </c>
      <c r="F35" s="2" t="inlineStr">
        <is>
          <t>Legendary</t>
        </is>
      </c>
    </row>
    <row r="36">
      <c r="A36" s="11" t="inlineStr">
        <is>
          <t>Amethyst_Gemstone</t>
        </is>
      </c>
      <c r="B36" t="inlineStr">
        <is>
          <t>STR_AMETHYST_GEMSTONE_NAME</t>
        </is>
      </c>
      <c r="C36" t="inlineStr">
        <is>
          <t>STR_AMETHYST_GEMSTONE_DES</t>
        </is>
      </c>
      <c r="D36" t="inlineStr">
        <is>
          <t>STR_GEMSTONE_USEFUL</t>
        </is>
      </c>
      <c r="E36" s="36" t="inlineStr">
        <is>
          <t>Gemstone</t>
        </is>
      </c>
      <c r="F36" s="2" t="inlineStr">
        <is>
          <t>Legendary</t>
        </is>
      </c>
    </row>
    <row r="37">
      <c r="A37" s="11" t="inlineStr">
        <is>
          <t>Yellow_Jade_Gemstone</t>
        </is>
      </c>
      <c r="B37" t="inlineStr">
        <is>
          <t>STR_YELLOW_JADE_GEMSTONE_NAME</t>
        </is>
      </c>
      <c r="C37" t="inlineStr">
        <is>
          <t>STR_YELLOW_JADE_GEMSTONE_DES</t>
        </is>
      </c>
      <c r="D37" t="inlineStr">
        <is>
          <t>STR_GEMSTONE_USEFUL</t>
        </is>
      </c>
      <c r="E37" s="36" t="inlineStr">
        <is>
          <t>Gemstone</t>
        </is>
      </c>
      <c r="F37" s="2" t="inlineStr">
        <is>
          <t>Legendary</t>
        </is>
      </c>
    </row>
    <row r="38">
      <c r="A38" s="11" t="inlineStr">
        <is>
          <t>Topaz_Gemstone</t>
        </is>
      </c>
      <c r="B38" t="inlineStr">
        <is>
          <t>STR_TOPAZ_GEMSTONE_NAME</t>
        </is>
      </c>
      <c r="C38" t="inlineStr">
        <is>
          <t>STR_TOPAZ_GEMSTONE_DES</t>
        </is>
      </c>
      <c r="D38" t="inlineStr">
        <is>
          <t>STR_GEMSTONE_USEFUL</t>
        </is>
      </c>
      <c r="E38" s="36" t="inlineStr">
        <is>
          <t>Gemstone</t>
        </is>
      </c>
      <c r="F38" s="2" t="inlineStr">
        <is>
          <t>Legendary</t>
        </is>
      </c>
    </row>
    <row r="39">
      <c r="A39" s="11" t="inlineStr">
        <is>
          <t>Jade_Gemstone</t>
        </is>
      </c>
      <c r="B39" t="inlineStr">
        <is>
          <t>STR_JADE_GEMSTONE_NAME</t>
        </is>
      </c>
      <c r="C39" t="inlineStr">
        <is>
          <t>STR_JADE_GEMSTONE_DES</t>
        </is>
      </c>
      <c r="D39" t="inlineStr">
        <is>
          <t>STR_GEMSTONE_USEFUL</t>
        </is>
      </c>
      <c r="E39" s="36" t="inlineStr">
        <is>
          <t>Gemstone</t>
        </is>
      </c>
      <c r="F39" s="2" t="inlineStr">
        <is>
          <t>Legendary</t>
        </is>
      </c>
    </row>
    <row r="40">
      <c r="A40" s="11" t="inlineStr">
        <is>
          <t>Aquamarine_Gemstone</t>
        </is>
      </c>
      <c r="B40" t="inlineStr">
        <is>
          <t>STR_AQUAMARINE_GEMSTONE_NAME</t>
        </is>
      </c>
      <c r="C40" t="inlineStr">
        <is>
          <t>STR_AQUAMARINE_GEMSTONE_DES</t>
        </is>
      </c>
      <c r="D40" t="inlineStr">
        <is>
          <t>STR_GEMSTONE_USEFUL</t>
        </is>
      </c>
      <c r="E40" s="36" t="inlineStr">
        <is>
          <t>Gemstone</t>
        </is>
      </c>
      <c r="F40" s="2" t="inlineStr">
        <is>
          <t>Legendary</t>
        </is>
      </c>
    </row>
    <row r="41">
      <c r="A41" s="11" t="inlineStr">
        <is>
          <t>Garnet_Chunk</t>
        </is>
      </c>
      <c r="B41" t="inlineStr">
        <is>
          <t>STR_GARNET_CHUNK_NAME</t>
        </is>
      </c>
      <c r="C41" t="inlineStr">
        <is>
          <t>STR_GARNET_GEMSTONE_DES</t>
        </is>
      </c>
      <c r="D41" t="inlineStr">
        <is>
          <t>STR_GEMSTONE_USEFUL</t>
        </is>
      </c>
      <c r="E41" s="36" t="inlineStr">
        <is>
          <t>Gemstone</t>
        </is>
      </c>
      <c r="F41" s="5" t="inlineStr">
        <is>
          <t>Epic</t>
        </is>
      </c>
    </row>
    <row r="42">
      <c r="A42" s="11" t="inlineStr">
        <is>
          <t>Lapis_Lazuli_Chunk</t>
        </is>
      </c>
      <c r="B42" t="inlineStr">
        <is>
          <t>STR_LAPIS_LAZULI_CHUNK_NAME</t>
        </is>
      </c>
      <c r="C42" t="inlineStr">
        <is>
          <t>STR_LAPIS_LAZULI_GEMSTONE_DES</t>
        </is>
      </c>
      <c r="D42" t="inlineStr">
        <is>
          <t>STR_GEMSTONE_USEFUL</t>
        </is>
      </c>
      <c r="E42" s="36" t="inlineStr">
        <is>
          <t>Gemstone</t>
        </is>
      </c>
      <c r="F42" s="5" t="inlineStr">
        <is>
          <t>Epic</t>
        </is>
      </c>
    </row>
    <row r="43">
      <c r="A43" s="11" t="inlineStr">
        <is>
          <t>Amethyst_Chunk</t>
        </is>
      </c>
      <c r="B43" t="inlineStr">
        <is>
          <t>STR_AMETHYST_CHUNK_NAME</t>
        </is>
      </c>
      <c r="C43" t="inlineStr">
        <is>
          <t>STR_AMETHYST_GEMSTONE_DES</t>
        </is>
      </c>
      <c r="D43" t="inlineStr">
        <is>
          <t>STR_GEMSTONE_USEFUL</t>
        </is>
      </c>
      <c r="E43" s="36" t="inlineStr">
        <is>
          <t>Gemstone</t>
        </is>
      </c>
      <c r="F43" s="5" t="inlineStr">
        <is>
          <t>Epic</t>
        </is>
      </c>
    </row>
    <row r="44">
      <c r="A44" s="11" t="inlineStr">
        <is>
          <t>Yellow_Jade_Chunk</t>
        </is>
      </c>
      <c r="B44" t="inlineStr">
        <is>
          <t>STR_YELLOW_JADE_CHUNK_NAME</t>
        </is>
      </c>
      <c r="C44" t="inlineStr">
        <is>
          <t>STR_YELLOW_JADE_GEMSTONE_DES</t>
        </is>
      </c>
      <c r="D44" t="inlineStr">
        <is>
          <t>STR_GEMSTONE_USEFUL</t>
        </is>
      </c>
      <c r="E44" s="36" t="inlineStr">
        <is>
          <t>Gemstone</t>
        </is>
      </c>
      <c r="F44" s="5" t="inlineStr">
        <is>
          <t>Epic</t>
        </is>
      </c>
    </row>
    <row r="45">
      <c r="A45" s="11" t="inlineStr">
        <is>
          <t>Topaz_Chunk</t>
        </is>
      </c>
      <c r="B45" t="inlineStr">
        <is>
          <t>STR_TOPAZ_CHUNK_NAME</t>
        </is>
      </c>
      <c r="C45" t="inlineStr">
        <is>
          <t>STR_TOPAZ_GEMSTONE_DES</t>
        </is>
      </c>
      <c r="D45" t="inlineStr">
        <is>
          <t>STR_GEMSTONE_USEFUL</t>
        </is>
      </c>
      <c r="E45" s="36" t="inlineStr">
        <is>
          <t>Gemstone</t>
        </is>
      </c>
      <c r="F45" s="5" t="inlineStr">
        <is>
          <t>Epic</t>
        </is>
      </c>
    </row>
    <row r="46">
      <c r="A46" s="11" t="inlineStr">
        <is>
          <t>Jade_Chunk</t>
        </is>
      </c>
      <c r="B46" t="inlineStr">
        <is>
          <t>STR_JADE_CHUNK_NAME</t>
        </is>
      </c>
      <c r="C46" t="inlineStr">
        <is>
          <t>STR_JADE_GEMSTONE_DES</t>
        </is>
      </c>
      <c r="D46" t="inlineStr">
        <is>
          <t>STR_GEMSTONE_USEFUL</t>
        </is>
      </c>
      <c r="E46" s="36" t="inlineStr">
        <is>
          <t>Gemstone</t>
        </is>
      </c>
      <c r="F46" s="5" t="inlineStr">
        <is>
          <t>Epic</t>
        </is>
      </c>
    </row>
    <row r="47">
      <c r="A47" s="11" t="inlineStr">
        <is>
          <t>Aquamarine_Chunk</t>
        </is>
      </c>
      <c r="B47" t="inlineStr">
        <is>
          <t>STR_AQUAMARINE_CHUNK_NAME</t>
        </is>
      </c>
      <c r="C47" t="inlineStr">
        <is>
          <t>STR_AQUAMARINE_GEMSTONE_DES</t>
        </is>
      </c>
      <c r="D47" t="inlineStr">
        <is>
          <t>STR_GEMSTONE_USEFUL</t>
        </is>
      </c>
      <c r="E47" s="36" t="inlineStr">
        <is>
          <t>Gemstone</t>
        </is>
      </c>
      <c r="F47" s="5" t="inlineStr">
        <is>
          <t>Epic</t>
        </is>
      </c>
    </row>
    <row r="48">
      <c r="A48" s="11" t="inlineStr">
        <is>
          <t>Garnet_Fragment</t>
        </is>
      </c>
      <c r="B48" t="inlineStr">
        <is>
          <t>STR_GARNET_FRAGMENT_NAME</t>
        </is>
      </c>
      <c r="C48" t="inlineStr">
        <is>
          <t>STR_GARNET_GEMSTONE_DES</t>
        </is>
      </c>
      <c r="D48" t="inlineStr">
        <is>
          <t>STR_GEMSTONE_USEFUL</t>
        </is>
      </c>
      <c r="E48" s="36" t="inlineStr">
        <is>
          <t>Gemstone</t>
        </is>
      </c>
      <c r="F48" s="3" t="inlineStr">
        <is>
          <t>Rare</t>
        </is>
      </c>
    </row>
    <row r="49">
      <c r="A49" s="11" t="inlineStr">
        <is>
          <t>Lapis_Lazuli_Fragment</t>
        </is>
      </c>
      <c r="B49" t="inlineStr">
        <is>
          <t>STR_LAPIS_LAZULI_FRAGMENT_NAME</t>
        </is>
      </c>
      <c r="C49" t="inlineStr">
        <is>
          <t>STR_LAPIS_LAZULI_GEMSTONE_DES</t>
        </is>
      </c>
      <c r="D49" t="inlineStr">
        <is>
          <t>STR_GEMSTONE_USEFUL</t>
        </is>
      </c>
      <c r="E49" s="36" t="inlineStr">
        <is>
          <t>Gemstone</t>
        </is>
      </c>
      <c r="F49" s="3" t="inlineStr">
        <is>
          <t>Rare</t>
        </is>
      </c>
    </row>
    <row r="50">
      <c r="A50" s="11" t="inlineStr">
        <is>
          <t>Amethyst_Fragment</t>
        </is>
      </c>
      <c r="B50" t="inlineStr">
        <is>
          <t>STR_AMETHYST_FRAGMENT_NAME</t>
        </is>
      </c>
      <c r="C50" t="inlineStr">
        <is>
          <t>STR_AMETHYST_GEMSTONE_DES</t>
        </is>
      </c>
      <c r="D50" t="inlineStr">
        <is>
          <t>STR_GEMSTONE_USEFUL</t>
        </is>
      </c>
      <c r="E50" s="36" t="inlineStr">
        <is>
          <t>Gemstone</t>
        </is>
      </c>
      <c r="F50" s="3" t="inlineStr">
        <is>
          <t>Rare</t>
        </is>
      </c>
    </row>
    <row r="51">
      <c r="A51" s="11" t="inlineStr">
        <is>
          <t>Yellow_Jade_Fragment</t>
        </is>
      </c>
      <c r="B51" t="inlineStr">
        <is>
          <t>STR_YELLOW_JADE_FRAGMENT_NAME</t>
        </is>
      </c>
      <c r="C51" t="inlineStr">
        <is>
          <t>STR_YELLOW_JADE_GEMSTONE_DES</t>
        </is>
      </c>
      <c r="D51" t="inlineStr">
        <is>
          <t>STR_GEMSTONE_USEFUL</t>
        </is>
      </c>
      <c r="E51" s="36" t="inlineStr">
        <is>
          <t>Gemstone</t>
        </is>
      </c>
      <c r="F51" s="3" t="inlineStr">
        <is>
          <t>Rare</t>
        </is>
      </c>
    </row>
    <row r="52">
      <c r="A52" s="11" t="inlineStr">
        <is>
          <t>Topaz_Fragment</t>
        </is>
      </c>
      <c r="B52" t="inlineStr">
        <is>
          <t>STR_TOPAZ_FRAGMENT_NAME</t>
        </is>
      </c>
      <c r="C52" t="inlineStr">
        <is>
          <t>STR_TOPAZ_GEMSTONE_DES</t>
        </is>
      </c>
      <c r="D52" t="inlineStr">
        <is>
          <t>STR_GEMSTONE_USEFUL</t>
        </is>
      </c>
      <c r="E52" s="36" t="inlineStr">
        <is>
          <t>Gemstone</t>
        </is>
      </c>
      <c r="F52" s="3" t="inlineStr">
        <is>
          <t>Rare</t>
        </is>
      </c>
    </row>
    <row r="53">
      <c r="A53" s="11" t="inlineStr">
        <is>
          <t>Jade_Fragment</t>
        </is>
      </c>
      <c r="B53" t="inlineStr">
        <is>
          <t>STR_JADE_FRAGMENT_NAME</t>
        </is>
      </c>
      <c r="C53" t="inlineStr">
        <is>
          <t>STR_JADE_GEMSTONE_DES</t>
        </is>
      </c>
      <c r="D53" t="inlineStr">
        <is>
          <t>STR_GEMSTONE_USEFUL</t>
        </is>
      </c>
      <c r="E53" s="36" t="inlineStr">
        <is>
          <t>Gemstone</t>
        </is>
      </c>
      <c r="F53" s="3" t="inlineStr">
        <is>
          <t>Rare</t>
        </is>
      </c>
    </row>
    <row r="54">
      <c r="A54" s="11" t="inlineStr">
        <is>
          <t>Aquamarine_Fragment</t>
        </is>
      </c>
      <c r="B54" t="inlineStr">
        <is>
          <t>STR_AQUAMARINE_FRAGMENT_NAME</t>
        </is>
      </c>
      <c r="C54" t="inlineStr">
        <is>
          <t>STR_AQUAMARINE_GEMSTONE_DES</t>
        </is>
      </c>
      <c r="D54" t="inlineStr">
        <is>
          <t>STR_GEMSTONE_USEFUL</t>
        </is>
      </c>
      <c r="E54" s="36" t="inlineStr">
        <is>
          <t>Gemstone</t>
        </is>
      </c>
      <c r="F54" s="3" t="inlineStr">
        <is>
          <t>Rare</t>
        </is>
      </c>
    </row>
    <row r="55">
      <c r="A55" s="11" t="inlineStr">
        <is>
          <t>Garnet_Sliver</t>
        </is>
      </c>
      <c r="B55" t="inlineStr">
        <is>
          <t>STR_GARNET_SLIVER_NAME</t>
        </is>
      </c>
      <c r="C55" t="inlineStr">
        <is>
          <t>STR_GARNET_GEMSTONE_DES</t>
        </is>
      </c>
      <c r="D55" t="inlineStr">
        <is>
          <t>STR_GEMSTONE_USEFUL</t>
        </is>
      </c>
      <c r="E55" s="36" t="inlineStr">
        <is>
          <t>Gemstone</t>
        </is>
      </c>
      <c r="F55" s="6" t="inlineStr">
        <is>
          <t>Uncommon</t>
        </is>
      </c>
    </row>
    <row r="56">
      <c r="A56" s="11" t="inlineStr">
        <is>
          <t>Lapis_Lazuli_Sliver</t>
        </is>
      </c>
      <c r="B56" t="inlineStr">
        <is>
          <t>STR_LAPIS_LAZULI_SLIVER_NAME</t>
        </is>
      </c>
      <c r="C56" t="inlineStr">
        <is>
          <t>STR_LAPIS_LAZULI_GEMSTONE_DES</t>
        </is>
      </c>
      <c r="D56" t="inlineStr">
        <is>
          <t>STR_GEMSTONE_USEFUL</t>
        </is>
      </c>
      <c r="E56" s="36" t="inlineStr">
        <is>
          <t>Gemstone</t>
        </is>
      </c>
      <c r="F56" s="6" t="inlineStr">
        <is>
          <t>Uncommon</t>
        </is>
      </c>
    </row>
    <row r="57">
      <c r="A57" s="11" t="inlineStr">
        <is>
          <t>Amethyst_Sliver</t>
        </is>
      </c>
      <c r="B57" t="inlineStr">
        <is>
          <t>STR_AMETHYST_SLIVER_NAME</t>
        </is>
      </c>
      <c r="C57" t="inlineStr">
        <is>
          <t>STR_AMETHYST_GEMSTONE_DES</t>
        </is>
      </c>
      <c r="D57" t="inlineStr">
        <is>
          <t>STR_GEMSTONE_USEFUL</t>
        </is>
      </c>
      <c r="E57" s="36" t="inlineStr">
        <is>
          <t>Gemstone</t>
        </is>
      </c>
      <c r="F57" s="6" t="inlineStr">
        <is>
          <t>Uncommon</t>
        </is>
      </c>
    </row>
    <row r="58">
      <c r="A58" s="11" t="inlineStr">
        <is>
          <t>Yellow_Jade_Sliver</t>
        </is>
      </c>
      <c r="B58" t="inlineStr">
        <is>
          <t>STR_YELLOW_JADE_SLIVER_NAME</t>
        </is>
      </c>
      <c r="C58" t="inlineStr">
        <is>
          <t>STR_YELLOW_JADE_GEMSTONE_DES</t>
        </is>
      </c>
      <c r="D58" t="inlineStr">
        <is>
          <t>STR_GEMSTONE_USEFUL</t>
        </is>
      </c>
      <c r="E58" s="36" t="inlineStr">
        <is>
          <t>Gemstone</t>
        </is>
      </c>
      <c r="F58" s="6" t="inlineStr">
        <is>
          <t>Uncommon</t>
        </is>
      </c>
    </row>
    <row r="59">
      <c r="A59" s="11" t="inlineStr">
        <is>
          <t>Topaz_Sliver</t>
        </is>
      </c>
      <c r="B59" t="inlineStr">
        <is>
          <t>STR_TOPAZ_SLIVER_NAME</t>
        </is>
      </c>
      <c r="C59" t="inlineStr">
        <is>
          <t>STR_TOPAZ_GEMSTONE_DES</t>
        </is>
      </c>
      <c r="D59" t="inlineStr">
        <is>
          <t>STR_GEMSTONE_USEFUL</t>
        </is>
      </c>
      <c r="E59" s="36" t="inlineStr">
        <is>
          <t>Gemstone</t>
        </is>
      </c>
      <c r="F59" s="6" t="inlineStr">
        <is>
          <t>Uncommon</t>
        </is>
      </c>
    </row>
    <row r="60">
      <c r="A60" s="11" t="inlineStr">
        <is>
          <t>Jade_Sliver</t>
        </is>
      </c>
      <c r="B60" t="inlineStr">
        <is>
          <t>STR_JADE_SLIVER_NAME</t>
        </is>
      </c>
      <c r="C60" t="inlineStr">
        <is>
          <t>STR_JADE_GEMSTONE_DES</t>
        </is>
      </c>
      <c r="D60" t="inlineStr">
        <is>
          <t>STR_GEMSTONE_USEFUL</t>
        </is>
      </c>
      <c r="E60" s="36" t="inlineStr">
        <is>
          <t>Gemstone</t>
        </is>
      </c>
      <c r="F60" s="6" t="inlineStr">
        <is>
          <t>Uncommon</t>
        </is>
      </c>
    </row>
    <row r="61">
      <c r="A61" s="11" t="inlineStr">
        <is>
          <t>Aquamarine_Sliver</t>
        </is>
      </c>
      <c r="B61" t="inlineStr">
        <is>
          <t>STR_AQUAMARINE_SLIVER_NAME</t>
        </is>
      </c>
      <c r="C61" t="inlineStr">
        <is>
          <t>STR_AQUAMARINE_GEMSTONE_DES</t>
        </is>
      </c>
      <c r="D61" t="inlineStr">
        <is>
          <t>STR_GEMSTONE_USEFUL</t>
        </is>
      </c>
      <c r="E61" s="36" t="inlineStr">
        <is>
          <t>Gemstone</t>
        </is>
      </c>
      <c r="F61" s="6" t="inlineStr">
        <is>
          <t>Uncommon</t>
        </is>
      </c>
    </row>
    <row r="62">
      <c r="A62" s="13" t="inlineStr">
        <is>
          <t>common_exp</t>
        </is>
      </c>
      <c r="B62" t="inlineStr">
        <is>
          <t>STR_COMMON_EXP</t>
        </is>
      </c>
      <c r="C62" t="inlineStr">
        <is>
          <t>STR_EXP_DESCRIPTION</t>
        </is>
      </c>
      <c r="D62" t="inlineStr">
        <is>
          <t>STR_EXP_USEFUL</t>
        </is>
      </c>
      <c r="E62" s="36" t="inlineStr">
        <is>
          <t>Exp</t>
        </is>
      </c>
      <c r="F62" s="6" t="inlineStr">
        <is>
          <t>Uncommon</t>
        </is>
      </c>
    </row>
    <row r="63">
      <c r="A63" s="13" t="inlineStr">
        <is>
          <t>fine_exp</t>
        </is>
      </c>
      <c r="B63" t="inlineStr">
        <is>
          <t>STR_FINE_EXP</t>
        </is>
      </c>
      <c r="C63" t="inlineStr">
        <is>
          <t>STR_EXP_DESCRIPTION</t>
        </is>
      </c>
      <c r="D63" t="inlineStr">
        <is>
          <t>STR_EXP_USEFUL</t>
        </is>
      </c>
      <c r="E63" s="36" t="inlineStr">
        <is>
          <t>Exp</t>
        </is>
      </c>
      <c r="F63" s="3" t="inlineStr">
        <is>
          <t>Rare</t>
        </is>
      </c>
    </row>
    <row r="64">
      <c r="A64" s="13" t="inlineStr">
        <is>
          <t>rare_exp</t>
        </is>
      </c>
      <c r="B64" t="inlineStr">
        <is>
          <t>STR_RARE_EXP</t>
        </is>
      </c>
      <c r="C64" t="inlineStr">
        <is>
          <t>STR_EXP_DESCRIPTION</t>
        </is>
      </c>
      <c r="D64" t="inlineStr">
        <is>
          <t>STR_EXP_USEFUL</t>
        </is>
      </c>
      <c r="E64" s="36" t="inlineStr">
        <is>
          <t>Exp</t>
        </is>
      </c>
      <c r="F64" s="5" t="inlineStr">
        <is>
          <t>Epic</t>
        </is>
      </c>
    </row>
    <row r="65">
      <c r="A65" s="13" t="inlineStr">
        <is>
          <t>supreme_exp</t>
        </is>
      </c>
      <c r="B65" t="inlineStr">
        <is>
          <t>STR_SUPREME_EXP</t>
        </is>
      </c>
      <c r="C65" t="inlineStr">
        <is>
          <t>STR_EXP_DESCRIPTION</t>
        </is>
      </c>
      <c r="D65" t="inlineStr">
        <is>
          <t>STR_EXP_USEFUL</t>
        </is>
      </c>
      <c r="E65" s="36" t="inlineStr">
        <is>
          <t>Exp</t>
        </is>
      </c>
      <c r="F65" s="2" t="inlineStr">
        <is>
          <t>Legendary</t>
        </is>
      </c>
    </row>
    <row r="66">
      <c r="A66" s="10" t="inlineStr">
        <is>
          <t>SunWukong</t>
        </is>
      </c>
      <c r="B66" t="inlineStr">
        <is>
          <t>STR_SUN_WUKONG</t>
        </is>
      </c>
      <c r="C66" t="inlineStr">
        <is>
          <t>STR_SHARD_DESCRIPTION</t>
        </is>
      </c>
      <c r="E66" s="36" t="inlineStr">
        <is>
          <t>Shard</t>
        </is>
      </c>
      <c r="F66" s="2" t="inlineStr">
        <is>
          <t>Legendary</t>
        </is>
      </c>
    </row>
    <row r="67">
      <c r="A67" s="10" t="inlineStr">
        <is>
          <t>TangSanZang</t>
        </is>
      </c>
      <c r="B67" t="inlineStr">
        <is>
          <t>STR_TANG_SANZANG</t>
        </is>
      </c>
      <c r="C67" t="inlineStr">
        <is>
          <t>STR_SHARD_DESCRIPTION</t>
        </is>
      </c>
      <c r="E67" s="36" t="inlineStr">
        <is>
          <t>Shard</t>
        </is>
      </c>
      <c r="F67" s="9" t="inlineStr">
        <is>
          <t>Uncommon</t>
        </is>
      </c>
    </row>
    <row r="68">
      <c r="A68" s="10" t="inlineStr">
        <is>
          <t>ZhuBaJie</t>
        </is>
      </c>
      <c r="B68" t="inlineStr">
        <is>
          <t>STR_ZHU_BAIJE</t>
        </is>
      </c>
      <c r="C68" t="inlineStr">
        <is>
          <t>STR_SHARD_DESCRIPTION</t>
        </is>
      </c>
      <c r="E68" s="36" t="inlineStr">
        <is>
          <t>Shard</t>
        </is>
      </c>
      <c r="F68" s="14" t="inlineStr">
        <is>
          <t>Epic</t>
        </is>
      </c>
    </row>
    <row r="69">
      <c r="A69" s="10" t="inlineStr">
        <is>
          <t>ShaWujing</t>
        </is>
      </c>
      <c r="B69" t="inlineStr">
        <is>
          <t>STR_SHA_WUJING</t>
        </is>
      </c>
      <c r="C69" t="inlineStr">
        <is>
          <t>STR_SHARD_DESCRIPTION</t>
        </is>
      </c>
      <c r="E69" s="36" t="inlineStr">
        <is>
          <t>Shard</t>
        </is>
      </c>
      <c r="F69" s="3" t="inlineStr">
        <is>
          <t>Rare</t>
        </is>
      </c>
    </row>
    <row r="70">
      <c r="A70" s="10" t="inlineStr">
        <is>
          <t>DragonKing</t>
        </is>
      </c>
      <c r="B70" t="inlineStr">
        <is>
          <t>STR_DRAGON_KING_EATERN_SEA</t>
        </is>
      </c>
      <c r="C70" t="inlineStr">
        <is>
          <t>STR_SHARD_DESCRIPTION</t>
        </is>
      </c>
      <c r="E70" s="36" t="inlineStr">
        <is>
          <t>Shard</t>
        </is>
      </c>
      <c r="F70" s="3" t="inlineStr">
        <is>
          <t>Rare</t>
        </is>
      </c>
    </row>
    <row r="71">
      <c r="A71" s="10" t="inlineStr">
        <is>
          <t>ThirdPrinceNezha</t>
        </is>
      </c>
      <c r="B71" t="inlineStr">
        <is>
          <t>STR_THIRD_PRINCE_NEZHA</t>
        </is>
      </c>
      <c r="C71" t="inlineStr">
        <is>
          <t>STR_SHARD_DESCRIPTION</t>
        </is>
      </c>
      <c r="E71" s="36" t="inlineStr">
        <is>
          <t>Shard</t>
        </is>
      </c>
      <c r="F71" s="2" t="inlineStr">
        <is>
          <t>Legendary</t>
        </is>
      </c>
    </row>
    <row r="72">
      <c r="A72" s="10" t="inlineStr">
        <is>
          <t>LittleWhiteDragon</t>
        </is>
      </c>
      <c r="B72" t="inlineStr">
        <is>
          <t>STR_LITTLE_WHITE_DRAGON</t>
        </is>
      </c>
      <c r="C72" t="inlineStr">
        <is>
          <t>STR_SHARD_DESCRIPTION</t>
        </is>
      </c>
      <c r="E72" s="36" t="inlineStr">
        <is>
          <t>Shard</t>
        </is>
      </c>
      <c r="F72" s="12" t="inlineStr">
        <is>
          <t>Common</t>
        </is>
      </c>
    </row>
    <row r="73">
      <c r="A73" s="10" t="inlineStr">
        <is>
          <t>BullDemonKing</t>
        </is>
      </c>
      <c r="B73" t="inlineStr">
        <is>
          <t>STR_BULL_DEMON_KING</t>
        </is>
      </c>
      <c r="C73" t="inlineStr">
        <is>
          <t>STR_SHARD_DESCRIPTION</t>
        </is>
      </c>
      <c r="E73" s="36" t="inlineStr">
        <is>
          <t>Shard</t>
        </is>
      </c>
      <c r="F73" s="2" t="inlineStr">
        <is>
          <t>Legendary</t>
        </is>
      </c>
    </row>
    <row r="74">
      <c r="A74" s="10" t="inlineStr">
        <is>
          <t>ErlangShen</t>
        </is>
      </c>
      <c r="B74" t="inlineStr">
        <is>
          <t>STR_ERLANG_SHEN_YANG_JIAN</t>
        </is>
      </c>
      <c r="C74" t="inlineStr">
        <is>
          <t>STR_SHARD_DESCRIPTION</t>
        </is>
      </c>
      <c r="E74" s="36" t="inlineStr">
        <is>
          <t>Shard</t>
        </is>
      </c>
      <c r="F74" s="2" t="inlineStr">
        <is>
          <t>Legendary</t>
        </is>
      </c>
    </row>
    <row r="75" ht="15.75" customHeight="1" s="35">
      <c r="A75" s="10" t="inlineStr">
        <is>
          <t>LiJing</t>
        </is>
      </c>
      <c r="B75" t="inlineStr">
        <is>
          <t>STR_LI_JING</t>
        </is>
      </c>
      <c r="C75" t="inlineStr">
        <is>
          <t>STR_SHARD_DESCRIPTION</t>
        </is>
      </c>
      <c r="E75" s="36" t="inlineStr">
        <is>
          <t>Shard</t>
        </is>
      </c>
      <c r="F75" s="2" t="inlineStr">
        <is>
          <t>Legendary</t>
        </is>
      </c>
    </row>
    <row r="76">
      <c r="A76" s="22" t="inlineStr">
        <is>
          <t xml:space="preserve">VanguardTiger </t>
        </is>
      </c>
      <c r="B76" t="inlineStr">
        <is>
          <t>STR_VANGUARD_TIGER</t>
        </is>
      </c>
      <c r="C76" t="inlineStr">
        <is>
          <t>STR_SHARD_DESCRIPTION</t>
        </is>
      </c>
      <c r="E76" s="36" t="inlineStr">
        <is>
          <t>Shard</t>
        </is>
      </c>
      <c r="F76" s="12" t="inlineStr">
        <is>
          <t>Common</t>
        </is>
      </c>
    </row>
    <row r="77">
      <c r="A77" s="22" t="inlineStr">
        <is>
          <t>TheBoySage</t>
        </is>
      </c>
      <c r="B77" t="inlineStr">
        <is>
          <t>STR_THE_BOY_SAGE</t>
        </is>
      </c>
      <c r="C77" t="inlineStr">
        <is>
          <t>STR_SHARD_DESCRIPTION</t>
        </is>
      </c>
      <c r="E77" s="36" t="inlineStr">
        <is>
          <t>Shard</t>
        </is>
      </c>
      <c r="F77" s="2" t="inlineStr">
        <is>
          <t>Legendary</t>
        </is>
      </c>
    </row>
    <row r="78">
      <c r="A78" s="22" t="inlineStr">
        <is>
          <t>GoldHornKing</t>
        </is>
      </c>
      <c r="B78" t="inlineStr">
        <is>
          <t>STR_GOLD_HORN_KING</t>
        </is>
      </c>
      <c r="C78" t="inlineStr">
        <is>
          <t>STR_SHARD_DESCRIPTION</t>
        </is>
      </c>
      <c r="E78" s="36" t="inlineStr">
        <is>
          <t>Shard</t>
        </is>
      </c>
      <c r="F78" s="14" t="inlineStr">
        <is>
          <t>Epic</t>
        </is>
      </c>
    </row>
    <row r="79">
      <c r="A79" s="22" t="inlineStr">
        <is>
          <t>SilverHornKing</t>
        </is>
      </c>
      <c r="B79" t="inlineStr">
        <is>
          <t>STR_SILVER_HORN_KING</t>
        </is>
      </c>
      <c r="C79" t="inlineStr">
        <is>
          <t>STR_SHARD_DESCRIPTION</t>
        </is>
      </c>
      <c r="E79" s="36" t="inlineStr">
        <is>
          <t>Shard</t>
        </is>
      </c>
      <c r="F79" s="14" t="inlineStr">
        <is>
          <t>Epic</t>
        </is>
      </c>
    </row>
    <row r="80">
      <c r="A80" s="22" t="inlineStr">
        <is>
          <t>YellowWindMonster</t>
        </is>
      </c>
      <c r="B80" t="inlineStr">
        <is>
          <t>STR_YELLOW_WIND_MONSTER</t>
        </is>
      </c>
      <c r="C80" t="inlineStr">
        <is>
          <t>STR_SHARD_DESCRIPTION</t>
        </is>
      </c>
      <c r="E80" s="36" t="inlineStr">
        <is>
          <t>Shard</t>
        </is>
      </c>
      <c r="F80" s="2" t="inlineStr">
        <is>
          <t>Legendary</t>
        </is>
      </c>
    </row>
    <row r="81">
      <c r="A81" s="22" t="inlineStr">
        <is>
          <t>GoldfishDemon</t>
        </is>
      </c>
      <c r="B81" t="inlineStr">
        <is>
          <t>STR_GOLD_FISH_DEMON</t>
        </is>
      </c>
      <c r="C81" t="inlineStr">
        <is>
          <t>STR_SHARD_DESCRIPTION</t>
        </is>
      </c>
      <c r="E81" s="36" t="inlineStr">
        <is>
          <t>Shard</t>
        </is>
      </c>
      <c r="F81" s="14" t="inlineStr">
        <is>
          <t>Epic</t>
        </is>
      </c>
    </row>
    <row r="82">
      <c r="A82" s="15" t="inlineStr">
        <is>
          <t>Armor01_Helmet</t>
        </is>
      </c>
      <c r="B82" t="inlineStr">
        <is>
          <t>STR_ARMOR_01</t>
        </is>
      </c>
      <c r="E82" s="36" t="inlineStr">
        <is>
          <t>Armor</t>
        </is>
      </c>
      <c r="F82" s="2" t="inlineStr">
        <is>
          <t>Legendary</t>
        </is>
      </c>
    </row>
    <row r="83">
      <c r="A83" s="15" t="inlineStr">
        <is>
          <t>Armor02_Helmet</t>
        </is>
      </c>
      <c r="B83" t="inlineStr">
        <is>
          <t>STR_ARMOR_02</t>
        </is>
      </c>
      <c r="E83" s="36" t="inlineStr">
        <is>
          <t>Armor</t>
        </is>
      </c>
      <c r="F83" s="3" t="inlineStr">
        <is>
          <t>Rare</t>
        </is>
      </c>
    </row>
    <row r="84">
      <c r="A84" s="15" t="inlineStr">
        <is>
          <t>Armor03_Helmet</t>
        </is>
      </c>
      <c r="B84" t="inlineStr">
        <is>
          <t>STR_ARMOR_03</t>
        </is>
      </c>
      <c r="E84" s="36" t="inlineStr">
        <is>
          <t>Armor</t>
        </is>
      </c>
      <c r="F84" s="6" t="inlineStr">
        <is>
          <t>Uncommon</t>
        </is>
      </c>
    </row>
    <row r="85">
      <c r="A85" s="15" t="inlineStr">
        <is>
          <t>Armor04_Helmet</t>
        </is>
      </c>
      <c r="B85" t="inlineStr">
        <is>
          <t>STR_ARMOR_04</t>
        </is>
      </c>
      <c r="E85" s="36" t="inlineStr">
        <is>
          <t>Armor</t>
        </is>
      </c>
      <c r="F85" s="14" t="inlineStr">
        <is>
          <t>Epic</t>
        </is>
      </c>
    </row>
    <row r="86">
      <c r="A86" s="15" t="inlineStr">
        <is>
          <t>Armor05_Helmet</t>
        </is>
      </c>
      <c r="B86" t="inlineStr">
        <is>
          <t>STR_ARMOR_05</t>
        </is>
      </c>
      <c r="E86" s="36" t="inlineStr">
        <is>
          <t>Armor</t>
        </is>
      </c>
      <c r="F86" s="12" t="inlineStr">
        <is>
          <t>Common</t>
        </is>
      </c>
    </row>
    <row r="87">
      <c r="A87" s="15" t="inlineStr">
        <is>
          <t>Armor06_Helmet</t>
        </is>
      </c>
      <c r="B87" t="inlineStr">
        <is>
          <t>STR_ARMOR_06</t>
        </is>
      </c>
      <c r="E87" s="36" t="inlineStr">
        <is>
          <t>Armor</t>
        </is>
      </c>
      <c r="F87" s="14" t="inlineStr">
        <is>
          <t>Epic</t>
        </is>
      </c>
    </row>
    <row r="88">
      <c r="A88" s="15" t="inlineStr">
        <is>
          <t>Armor01_Chestplate</t>
        </is>
      </c>
      <c r="B88" t="inlineStr">
        <is>
          <t>STR_ARMOR_01</t>
        </is>
      </c>
      <c r="E88" s="36" t="inlineStr">
        <is>
          <t>Armor</t>
        </is>
      </c>
      <c r="F88" s="2" t="inlineStr">
        <is>
          <t>Legendary</t>
        </is>
      </c>
    </row>
    <row r="89">
      <c r="A89" s="15" t="inlineStr">
        <is>
          <t>Armor02_Chestplate</t>
        </is>
      </c>
      <c r="B89" t="inlineStr">
        <is>
          <t>STR_ARMOR_02</t>
        </is>
      </c>
      <c r="E89" s="36" t="inlineStr">
        <is>
          <t>Armor</t>
        </is>
      </c>
      <c r="F89" s="3" t="inlineStr">
        <is>
          <t>Rare</t>
        </is>
      </c>
    </row>
    <row r="90">
      <c r="A90" s="15" t="inlineStr">
        <is>
          <t>Armor03_Chestplate</t>
        </is>
      </c>
      <c r="B90" t="inlineStr">
        <is>
          <t>STR_ARMOR_03</t>
        </is>
      </c>
      <c r="E90" s="36" t="inlineStr">
        <is>
          <t>Armor</t>
        </is>
      </c>
      <c r="F90" s="6" t="inlineStr">
        <is>
          <t>Uncommon</t>
        </is>
      </c>
    </row>
    <row r="91">
      <c r="A91" s="15" t="inlineStr">
        <is>
          <t>Armor04_Chestplate</t>
        </is>
      </c>
      <c r="B91" t="inlineStr">
        <is>
          <t>STR_ARMOR_04</t>
        </is>
      </c>
      <c r="E91" s="36" t="inlineStr">
        <is>
          <t>Armor</t>
        </is>
      </c>
      <c r="F91" s="14" t="inlineStr">
        <is>
          <t>Epic</t>
        </is>
      </c>
    </row>
    <row r="92">
      <c r="A92" s="15" t="inlineStr">
        <is>
          <t>Armor05_Chestplate</t>
        </is>
      </c>
      <c r="B92" t="inlineStr">
        <is>
          <t>STR_ARMOR_05</t>
        </is>
      </c>
      <c r="E92" s="36" t="inlineStr">
        <is>
          <t>Armor</t>
        </is>
      </c>
      <c r="F92" s="12" t="inlineStr">
        <is>
          <t>Common</t>
        </is>
      </c>
    </row>
    <row r="93">
      <c r="A93" s="15" t="inlineStr">
        <is>
          <t>Armor06_Chestplate</t>
        </is>
      </c>
      <c r="B93" t="inlineStr">
        <is>
          <t>STR_ARMOR_06</t>
        </is>
      </c>
      <c r="E93" s="36" t="inlineStr">
        <is>
          <t>Armor</t>
        </is>
      </c>
      <c r="F93" s="14" t="inlineStr">
        <is>
          <t>Epic</t>
        </is>
      </c>
    </row>
    <row r="94">
      <c r="A94" s="15" t="inlineStr">
        <is>
          <t>Armor01_Gloves</t>
        </is>
      </c>
      <c r="B94" t="inlineStr">
        <is>
          <t>STR_ARMOR_01</t>
        </is>
      </c>
      <c r="E94" s="36" t="inlineStr">
        <is>
          <t>Armor</t>
        </is>
      </c>
      <c r="F94" s="2" t="inlineStr">
        <is>
          <t>Legendary</t>
        </is>
      </c>
    </row>
    <row r="95">
      <c r="A95" s="15" t="inlineStr">
        <is>
          <t>Armor02_Gloves</t>
        </is>
      </c>
      <c r="B95" t="inlineStr">
        <is>
          <t>STR_ARMOR_02</t>
        </is>
      </c>
      <c r="E95" s="36" t="inlineStr">
        <is>
          <t>Armor</t>
        </is>
      </c>
      <c r="F95" s="3" t="inlineStr">
        <is>
          <t>Rare</t>
        </is>
      </c>
    </row>
    <row r="96">
      <c r="A96" s="15" t="inlineStr">
        <is>
          <t>Armor03_Gloves</t>
        </is>
      </c>
      <c r="B96" t="inlineStr">
        <is>
          <t>STR_ARMOR_03</t>
        </is>
      </c>
      <c r="E96" s="36" t="inlineStr">
        <is>
          <t>Armor</t>
        </is>
      </c>
      <c r="F96" s="6" t="inlineStr">
        <is>
          <t>Uncommon</t>
        </is>
      </c>
    </row>
    <row r="97">
      <c r="A97" s="15" t="inlineStr">
        <is>
          <t>Armor04_Gloves</t>
        </is>
      </c>
      <c r="B97" t="inlineStr">
        <is>
          <t>STR_ARMOR_04</t>
        </is>
      </c>
      <c r="E97" s="36" t="inlineStr">
        <is>
          <t>Armor</t>
        </is>
      </c>
      <c r="F97" s="14" t="inlineStr">
        <is>
          <t>Epic</t>
        </is>
      </c>
    </row>
    <row r="98">
      <c r="A98" s="15" t="inlineStr">
        <is>
          <t>Armor05_Gloves</t>
        </is>
      </c>
      <c r="B98" t="inlineStr">
        <is>
          <t>STR_ARMOR_05</t>
        </is>
      </c>
      <c r="E98" s="36" t="inlineStr">
        <is>
          <t>Armor</t>
        </is>
      </c>
      <c r="F98" s="12" t="inlineStr">
        <is>
          <t>Common</t>
        </is>
      </c>
    </row>
    <row r="99">
      <c r="A99" s="15" t="inlineStr">
        <is>
          <t>Armor06_Gloves</t>
        </is>
      </c>
      <c r="B99" t="inlineStr">
        <is>
          <t>STR_ARMOR_06</t>
        </is>
      </c>
      <c r="E99" s="36" t="inlineStr">
        <is>
          <t>Armor</t>
        </is>
      </c>
      <c r="F99" s="14" t="inlineStr">
        <is>
          <t>Epic</t>
        </is>
      </c>
    </row>
    <row r="100">
      <c r="A100" s="15" t="inlineStr">
        <is>
          <t>Armor01_Boots</t>
        </is>
      </c>
      <c r="B100" t="inlineStr">
        <is>
          <t>STR_ARMOR_01</t>
        </is>
      </c>
      <c r="E100" s="36" t="inlineStr">
        <is>
          <t>Armor</t>
        </is>
      </c>
      <c r="F100" s="2" t="inlineStr">
        <is>
          <t>Legendary</t>
        </is>
      </c>
    </row>
    <row r="101">
      <c r="A101" s="15" t="inlineStr">
        <is>
          <t>Armor02_Boots</t>
        </is>
      </c>
      <c r="B101" t="inlineStr">
        <is>
          <t>STR_ARMOR_02</t>
        </is>
      </c>
      <c r="E101" s="36" t="inlineStr">
        <is>
          <t>Armor</t>
        </is>
      </c>
      <c r="F101" s="3" t="inlineStr">
        <is>
          <t>Rare</t>
        </is>
      </c>
    </row>
    <row r="102">
      <c r="A102" s="15" t="inlineStr">
        <is>
          <t>Armor03_Boots</t>
        </is>
      </c>
      <c r="B102" t="inlineStr">
        <is>
          <t>STR_ARMOR_03</t>
        </is>
      </c>
      <c r="E102" s="36" t="inlineStr">
        <is>
          <t>Armor</t>
        </is>
      </c>
      <c r="F102" s="6" t="inlineStr">
        <is>
          <t>Uncommon</t>
        </is>
      </c>
    </row>
    <row r="103">
      <c r="A103" s="15" t="inlineStr">
        <is>
          <t>Armor04_Boots</t>
        </is>
      </c>
      <c r="B103" t="inlineStr">
        <is>
          <t>STR_ARMOR_04</t>
        </is>
      </c>
      <c r="E103" s="36" t="inlineStr">
        <is>
          <t>Armor</t>
        </is>
      </c>
      <c r="F103" s="14" t="inlineStr">
        <is>
          <t>Epic</t>
        </is>
      </c>
    </row>
    <row r="104">
      <c r="A104" s="15" t="inlineStr">
        <is>
          <t>Armor05_Boots</t>
        </is>
      </c>
      <c r="B104" t="inlineStr">
        <is>
          <t>STR_ARMOR_05</t>
        </is>
      </c>
      <c r="E104" s="36" t="inlineStr">
        <is>
          <t>Armor</t>
        </is>
      </c>
      <c r="F104" s="12" t="inlineStr">
        <is>
          <t>Common</t>
        </is>
      </c>
    </row>
    <row r="105">
      <c r="A105" s="15" t="inlineStr">
        <is>
          <t>Armor06_Boots</t>
        </is>
      </c>
      <c r="B105" t="inlineStr">
        <is>
          <t>STR_ARMOR_06</t>
        </is>
      </c>
      <c r="E105" s="36" t="inlineStr">
        <is>
          <t>Armor</t>
        </is>
      </c>
      <c r="F105" s="14" t="inlineStr">
        <is>
          <t>Epic</t>
        </is>
      </c>
    </row>
    <row r="106">
      <c r="A106" s="15" t="inlineStr">
        <is>
          <t>Armor01_Belt</t>
        </is>
      </c>
      <c r="B106" t="inlineStr">
        <is>
          <t>STR_ARMOR_01</t>
        </is>
      </c>
      <c r="E106" s="36" t="inlineStr">
        <is>
          <t>Armor</t>
        </is>
      </c>
      <c r="F106" s="2" t="inlineStr">
        <is>
          <t>Legendary</t>
        </is>
      </c>
    </row>
    <row r="107">
      <c r="A107" s="15" t="inlineStr">
        <is>
          <t>Armor02_Belt</t>
        </is>
      </c>
      <c r="B107" t="inlineStr">
        <is>
          <t>STR_ARMOR_02</t>
        </is>
      </c>
      <c r="E107" s="36" t="inlineStr">
        <is>
          <t>Armor</t>
        </is>
      </c>
      <c r="F107" s="3" t="inlineStr">
        <is>
          <t>Rare</t>
        </is>
      </c>
    </row>
    <row r="108">
      <c r="A108" s="15" t="inlineStr">
        <is>
          <t>Armor03_Belt</t>
        </is>
      </c>
      <c r="B108" t="inlineStr">
        <is>
          <t>STR_ARMOR_03</t>
        </is>
      </c>
      <c r="E108" s="36" t="inlineStr">
        <is>
          <t>Armor</t>
        </is>
      </c>
      <c r="F108" s="6" t="inlineStr">
        <is>
          <t>Uncommon</t>
        </is>
      </c>
    </row>
    <row r="109">
      <c r="A109" s="15" t="inlineStr">
        <is>
          <t>Armor04_Belt</t>
        </is>
      </c>
      <c r="B109" t="inlineStr">
        <is>
          <t>STR_ARMOR_04</t>
        </is>
      </c>
      <c r="E109" s="36" t="inlineStr">
        <is>
          <t>Armor</t>
        </is>
      </c>
      <c r="F109" s="14" t="inlineStr">
        <is>
          <t>Epic</t>
        </is>
      </c>
    </row>
    <row r="110">
      <c r="A110" s="15" t="inlineStr">
        <is>
          <t>Armor05_Belt</t>
        </is>
      </c>
      <c r="B110" t="inlineStr">
        <is>
          <t>STR_ARMOR_05</t>
        </is>
      </c>
      <c r="E110" s="36" t="inlineStr">
        <is>
          <t>Armor</t>
        </is>
      </c>
      <c r="F110" s="12" t="inlineStr">
        <is>
          <t>Common</t>
        </is>
      </c>
    </row>
    <row r="111">
      <c r="A111" s="15" t="inlineStr">
        <is>
          <t>Armor06_Belt</t>
        </is>
      </c>
      <c r="B111" t="inlineStr">
        <is>
          <t>STR_ARMOR_06</t>
        </is>
      </c>
      <c r="E111" s="36" t="inlineStr">
        <is>
          <t>Armor</t>
        </is>
      </c>
      <c r="F111" s="14" t="inlineStr">
        <is>
          <t>Epic</t>
        </is>
      </c>
    </row>
    <row r="112">
      <c r="A112" s="15" t="inlineStr">
        <is>
          <t>Armor01_Ring</t>
        </is>
      </c>
      <c r="B112" t="inlineStr">
        <is>
          <t>STR_ARMOR_01</t>
        </is>
      </c>
      <c r="E112" s="36" t="inlineStr">
        <is>
          <t>Armor</t>
        </is>
      </c>
      <c r="F112" s="2" t="inlineStr">
        <is>
          <t>Legendary</t>
        </is>
      </c>
    </row>
    <row r="113">
      <c r="A113" s="15" t="inlineStr">
        <is>
          <t>Armor02_Ring</t>
        </is>
      </c>
      <c r="B113" t="inlineStr">
        <is>
          <t>STR_ARMOR_02</t>
        </is>
      </c>
      <c r="E113" s="36" t="inlineStr">
        <is>
          <t>Armor</t>
        </is>
      </c>
      <c r="F113" s="3" t="inlineStr">
        <is>
          <t>Rare</t>
        </is>
      </c>
    </row>
    <row r="114">
      <c r="A114" s="15" t="inlineStr">
        <is>
          <t>Armor03_Ring</t>
        </is>
      </c>
      <c r="B114" t="inlineStr">
        <is>
          <t>STR_ARMOR_03</t>
        </is>
      </c>
      <c r="E114" s="36" t="inlineStr">
        <is>
          <t>Armor</t>
        </is>
      </c>
      <c r="F114" s="6" t="inlineStr">
        <is>
          <t>Uncommon</t>
        </is>
      </c>
    </row>
    <row r="115">
      <c r="A115" s="15" t="inlineStr">
        <is>
          <t>Armor04_Ring</t>
        </is>
      </c>
      <c r="B115" t="inlineStr">
        <is>
          <t>STR_ARMOR_04</t>
        </is>
      </c>
      <c r="E115" s="36" t="inlineStr">
        <is>
          <t>Armor</t>
        </is>
      </c>
      <c r="F115" s="14" t="inlineStr">
        <is>
          <t>Epic</t>
        </is>
      </c>
    </row>
    <row r="116">
      <c r="A116" s="15" t="inlineStr">
        <is>
          <t>Armor05_Ring</t>
        </is>
      </c>
      <c r="B116" t="inlineStr">
        <is>
          <t>STR_ARMOR_05</t>
        </is>
      </c>
      <c r="E116" s="36" t="inlineStr">
        <is>
          <t>Armor</t>
        </is>
      </c>
      <c r="F116" s="12" t="inlineStr">
        <is>
          <t>Common</t>
        </is>
      </c>
    </row>
    <row r="117">
      <c r="A117" s="15" t="inlineStr">
        <is>
          <t>Armor06_Ring</t>
        </is>
      </c>
      <c r="B117" t="inlineStr">
        <is>
          <t>STR_ARMOR_06</t>
        </is>
      </c>
      <c r="E117" s="36" t="inlineStr">
        <is>
          <t>Armor</t>
        </is>
      </c>
      <c r="F117" s="14" t="inlineStr">
        <is>
          <t>Epic</t>
        </is>
      </c>
    </row>
    <row r="118">
      <c r="A118" s="9" t="inlineStr">
        <is>
          <t>ShaWujing_avatar</t>
        </is>
      </c>
      <c r="E118" s="36" t="inlineStr">
        <is>
          <t>Avatar</t>
        </is>
      </c>
      <c r="F118" s="12" t="inlineStr">
        <is>
          <t>Common</t>
        </is>
      </c>
    </row>
    <row r="119">
      <c r="A119" s="9" t="inlineStr">
        <is>
          <t>TangSanzang_avatar</t>
        </is>
      </c>
      <c r="E119" s="36" t="inlineStr">
        <is>
          <t>Avatar</t>
        </is>
      </c>
      <c r="F119" s="12" t="inlineStr">
        <is>
          <t>Common</t>
        </is>
      </c>
    </row>
    <row r="120">
      <c r="A120" s="9" t="inlineStr">
        <is>
          <t>Wukong_avatar</t>
        </is>
      </c>
      <c r="E120" s="36" t="inlineStr">
        <is>
          <t>Avatar</t>
        </is>
      </c>
      <c r="F120" s="12" t="inlineStr">
        <is>
          <t>Common</t>
        </is>
      </c>
    </row>
    <row r="121">
      <c r="A121" s="9" t="inlineStr">
        <is>
          <t>Wukong01_avatar</t>
        </is>
      </c>
      <c r="E121" s="36" t="inlineStr">
        <is>
          <t>Avatar</t>
        </is>
      </c>
      <c r="F121" s="12" t="inlineStr">
        <is>
          <t>Common</t>
        </is>
      </c>
    </row>
    <row r="122">
      <c r="A122" s="9" t="inlineStr">
        <is>
          <t>Wukong02_avatar</t>
        </is>
      </c>
      <c r="E122" s="36" t="inlineStr">
        <is>
          <t>Avatar</t>
        </is>
      </c>
      <c r="F122" s="12" t="inlineStr">
        <is>
          <t>Common</t>
        </is>
      </c>
    </row>
    <row r="123">
      <c r="A123" s="9" t="inlineStr">
        <is>
          <t>Wukong03_avatar</t>
        </is>
      </c>
      <c r="E123" s="36" t="inlineStr">
        <is>
          <t>Avatar</t>
        </is>
      </c>
      <c r="F123" s="12" t="inlineStr">
        <is>
          <t>Common</t>
        </is>
      </c>
    </row>
    <row r="124">
      <c r="A124" s="9" t="inlineStr">
        <is>
          <t>Wukong04_avatar</t>
        </is>
      </c>
      <c r="E124" s="36" t="inlineStr">
        <is>
          <t>Avatar</t>
        </is>
      </c>
      <c r="F124" s="12" t="inlineStr">
        <is>
          <t>Common</t>
        </is>
      </c>
    </row>
    <row r="125">
      <c r="A125" s="9" t="inlineStr">
        <is>
          <t>Wukong05_avatar</t>
        </is>
      </c>
      <c r="E125" s="36" t="inlineStr">
        <is>
          <t>Avatar</t>
        </is>
      </c>
      <c r="F125" s="12" t="inlineStr">
        <is>
          <t>Common</t>
        </is>
      </c>
    </row>
    <row r="126">
      <c r="A126" s="9" t="inlineStr">
        <is>
          <t>ZhuBajie_avatar</t>
        </is>
      </c>
      <c r="E126" s="36" t="inlineStr">
        <is>
          <t>Avatar</t>
        </is>
      </c>
      <c r="F126" s="12" t="inlineStr">
        <is>
          <t>Common</t>
        </is>
      </c>
    </row>
    <row r="127">
      <c r="A127" s="9" t="inlineStr">
        <is>
          <t>Slime</t>
        </is>
      </c>
      <c r="B127" t="inlineStr">
        <is>
          <t>STR_SLIME_NAME</t>
        </is>
      </c>
      <c r="C127" t="inlineStr">
        <is>
          <t>STR_SLIME_DES</t>
        </is>
      </c>
      <c r="D127" t="inlineStr">
        <is>
          <t>STR_SLIME_USEFUL</t>
        </is>
      </c>
      <c r="E127" s="36" t="inlineStr">
        <is>
          <t>Material</t>
        </is>
      </c>
      <c r="F127" s="4" t="inlineStr">
        <is>
          <t>Common</t>
        </is>
      </c>
    </row>
  </sheetData>
  <autoFilter ref="A1:A11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B29" sqref="B29"/>
    </sheetView>
  </sheetViews>
  <sheetFormatPr baseColWidth="8" defaultRowHeight="15"/>
  <cols>
    <col width="22.28515625" bestFit="1" customWidth="1" style="35" min="1" max="1"/>
    <col width="14" bestFit="1" customWidth="1" style="35" min="2" max="2"/>
    <col width="7.5703125" bestFit="1" customWidth="1" style="37" min="3" max="3"/>
    <col width="14.42578125" bestFit="1" customWidth="1" style="35" min="4" max="4"/>
  </cols>
  <sheetData>
    <row r="1">
      <c r="A1" s="1" t="inlineStr">
        <is>
          <t>ID</t>
        </is>
      </c>
      <c r="B1" s="1" t="inlineStr">
        <is>
          <t>Pram01</t>
        </is>
      </c>
      <c r="C1" s="34" t="inlineStr">
        <is>
          <t>Pram02</t>
        </is>
      </c>
      <c r="D1" t="inlineStr">
        <is>
          <t>Pram03</t>
        </is>
      </c>
      <c r="E1" t="inlineStr">
        <is>
          <t>Pram04</t>
        </is>
      </c>
      <c r="F1" t="inlineStr">
        <is>
          <t>Pram05</t>
        </is>
      </c>
    </row>
    <row r="2">
      <c r="A2" s="13" t="inlineStr">
        <is>
          <t>common_exp</t>
        </is>
      </c>
      <c r="B2" s="36" t="n">
        <v>100</v>
      </c>
    </row>
    <row r="3">
      <c r="A3" s="13" t="inlineStr">
        <is>
          <t>fine_exp</t>
        </is>
      </c>
      <c r="B3" s="36" t="n">
        <v>400</v>
      </c>
    </row>
    <row r="4">
      <c r="A4" s="13" t="inlineStr">
        <is>
          <t>rare_exp</t>
        </is>
      </c>
      <c r="B4" s="36" t="n">
        <v>1600</v>
      </c>
    </row>
    <row r="5">
      <c r="A5" s="13" t="inlineStr">
        <is>
          <t>supreme_exp</t>
        </is>
      </c>
      <c r="B5" s="36" t="n">
        <v>6400</v>
      </c>
    </row>
    <row r="6">
      <c r="A6" t="inlineStr">
        <is>
          <t>Jade_Parcels</t>
        </is>
      </c>
      <c r="B6" t="inlineStr">
        <is>
          <t>GlobalStatBuff</t>
        </is>
      </c>
      <c r="C6" s="37" t="n">
        <v>15</v>
      </c>
      <c r="D6" s="36" t="inlineStr">
        <is>
          <t>CRIT_RATE</t>
        </is>
      </c>
      <c r="E6" t="inlineStr">
        <is>
          <t>Flat</t>
        </is>
      </c>
      <c r="F6" t="n">
        <v>10</v>
      </c>
    </row>
    <row r="7">
      <c r="A7" t="inlineStr">
        <is>
          <t>Dragon_Bread_Noodies</t>
        </is>
      </c>
      <c r="B7" t="inlineStr">
        <is>
          <t>GlobalStatBuff</t>
        </is>
      </c>
      <c r="C7" s="37" t="n">
        <v>30</v>
      </c>
      <c r="D7" s="36" t="inlineStr">
        <is>
          <t>CRIT_DMG_RES</t>
        </is>
      </c>
      <c r="E7" t="inlineStr">
        <is>
          <t>Flat</t>
        </is>
      </c>
      <c r="F7" t="n">
        <v>10</v>
      </c>
    </row>
    <row r="8">
      <c r="A8" t="inlineStr">
        <is>
          <t>Lamian_Noodies</t>
        </is>
      </c>
      <c r="B8" t="inlineStr">
        <is>
          <t>GlobalStatBuff</t>
        </is>
      </c>
      <c r="C8" s="37" t="n">
        <v>200</v>
      </c>
      <c r="D8" s="36" t="inlineStr">
        <is>
          <t>ATK</t>
        </is>
      </c>
      <c r="E8" t="inlineStr">
        <is>
          <t>Flat</t>
        </is>
      </c>
      <c r="F8" t="n">
        <v>10</v>
      </c>
    </row>
    <row r="9">
      <c r="A9" t="inlineStr">
        <is>
          <t>Tofu_Soup</t>
        </is>
      </c>
      <c r="B9" t="inlineStr">
        <is>
          <t>GlobalStatBuff</t>
        </is>
      </c>
      <c r="C9" s="37" t="n">
        <v>500</v>
      </c>
      <c r="D9" s="36" t="inlineStr">
        <is>
          <t>HP</t>
        </is>
      </c>
      <c r="E9" t="inlineStr">
        <is>
          <t>Flat</t>
        </is>
      </c>
      <c r="F9" t="n">
        <v>5</v>
      </c>
    </row>
    <row r="10">
      <c r="A10" t="inlineStr">
        <is>
          <t>Fried_Radish_Balls</t>
        </is>
      </c>
      <c r="B10" t="inlineStr">
        <is>
          <t>GlobalStatBuff</t>
        </is>
      </c>
      <c r="C10" s="37" t="n">
        <v>100</v>
      </c>
      <c r="D10" s="36" t="inlineStr">
        <is>
          <t>DEF</t>
        </is>
      </c>
      <c r="E10" t="inlineStr">
        <is>
          <t>Flat</t>
        </is>
      </c>
      <c r="F10" t="n">
        <v>5</v>
      </c>
    </row>
    <row r="11">
      <c r="A11" t="inlineStr">
        <is>
          <t>Shirmp_Dumplings</t>
        </is>
      </c>
      <c r="B11" t="inlineStr">
        <is>
          <t>RestoreEnergy</t>
        </is>
      </c>
      <c r="C11" s="37" t="n">
        <v>60</v>
      </c>
    </row>
    <row r="12">
      <c r="A12" t="inlineStr">
        <is>
          <t>Murshroom_Steamed_Buns</t>
        </is>
      </c>
      <c r="B12" t="inlineStr">
        <is>
          <t>RestoreEnergy</t>
        </is>
      </c>
      <c r="C12" s="37" t="n">
        <v>30</v>
      </c>
    </row>
  </sheetData>
  <dataValidations count="1">
    <dataValidation sqref="D6:D10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="160" zoomScaleNormal="160" workbookViewId="0">
      <selection activeCell="A19" sqref="A19"/>
    </sheetView>
  </sheetViews>
  <sheetFormatPr baseColWidth="8" defaultRowHeight="15"/>
  <cols>
    <col width="21" bestFit="1" customWidth="1" style="35" min="1" max="1"/>
    <col width="11.140625" bestFit="1" customWidth="1" style="35" min="2" max="2"/>
    <col width="8.42578125" bestFit="1" customWidth="1" style="35" min="3" max="3"/>
    <col width="24.7109375" bestFit="1" customWidth="1" style="35" min="8" max="8"/>
  </cols>
  <sheetData>
    <row r="1">
      <c r="A1" s="1" t="inlineStr">
        <is>
          <t>ID</t>
        </is>
      </c>
      <c r="B1" s="1" t="inlineStr">
        <is>
          <t>Rare</t>
        </is>
      </c>
      <c r="C1" s="1" t="inlineStr">
        <is>
          <t>Type</t>
        </is>
      </c>
      <c r="D1" s="1" t="inlineStr">
        <is>
          <t>HP</t>
        </is>
      </c>
      <c r="E1" s="1" t="inlineStr">
        <is>
          <t>ATK</t>
        </is>
      </c>
      <c r="F1" s="1" t="inlineStr">
        <is>
          <t>GrowthHP</t>
        </is>
      </c>
      <c r="G1" s="1" t="inlineStr">
        <is>
          <t>GrowthATK</t>
        </is>
      </c>
      <c r="H1" s="1" t="inlineStr">
        <is>
          <t>PassiveID</t>
        </is>
      </c>
    </row>
    <row r="2">
      <c r="A2" t="inlineStr">
        <is>
          <t>Nimbus_Cudgel</t>
        </is>
      </c>
      <c r="B2" s="2" t="inlineStr">
        <is>
          <t>Legendary</t>
        </is>
      </c>
      <c r="C2" s="37" t="inlineStr">
        <is>
          <t>Fighter</t>
        </is>
      </c>
      <c r="D2" t="n">
        <v>1375</v>
      </c>
      <c r="E2" t="n">
        <v>225</v>
      </c>
      <c r="F2" t="n">
        <v>138</v>
      </c>
      <c r="G2" t="n">
        <v>23</v>
      </c>
      <c r="H2" s="31" t="inlineStr">
        <is>
          <t>psv_nimbus_cudgel</t>
        </is>
      </c>
    </row>
    <row r="3">
      <c r="A3" t="inlineStr">
        <is>
          <t>Triple_Edged_Blade</t>
        </is>
      </c>
      <c r="B3" s="2" t="inlineStr">
        <is>
          <t>Legendary</t>
        </is>
      </c>
      <c r="C3" s="37" t="inlineStr">
        <is>
          <t>Fighter</t>
        </is>
      </c>
      <c r="D3" t="n">
        <v>1375</v>
      </c>
      <c r="E3" t="n">
        <v>225</v>
      </c>
      <c r="F3" t="n">
        <v>138</v>
      </c>
      <c r="G3" t="n">
        <v>23</v>
      </c>
      <c r="H3" s="31" t="inlineStr">
        <is>
          <t>psv_triple_edged_blade</t>
        </is>
      </c>
    </row>
    <row r="4">
      <c r="A4" t="inlineStr">
        <is>
          <t>Vanguard_Of_Volition</t>
        </is>
      </c>
      <c r="B4" s="2" t="inlineStr">
        <is>
          <t>Legendary</t>
        </is>
      </c>
      <c r="C4" s="37" t="inlineStr">
        <is>
          <t>Assassin</t>
        </is>
      </c>
      <c r="D4" t="n">
        <v>875</v>
      </c>
      <c r="E4" t="n">
        <v>325</v>
      </c>
      <c r="F4" t="n">
        <v>88</v>
      </c>
      <c r="G4" t="n">
        <v>33</v>
      </c>
      <c r="H4" s="31" t="inlineStr">
        <is>
          <t>psv_vanguard_of_volition</t>
        </is>
      </c>
    </row>
    <row r="5">
      <c r="A5" t="inlineStr">
        <is>
          <t>Ninefold_Staff</t>
        </is>
      </c>
      <c r="B5" s="3" t="inlineStr">
        <is>
          <t>Rare</t>
        </is>
      </c>
      <c r="C5" s="37" t="inlineStr">
        <is>
          <t>Mage</t>
        </is>
      </c>
      <c r="D5" t="n">
        <v>495</v>
      </c>
      <c r="E5" t="n">
        <v>121</v>
      </c>
      <c r="F5" t="n">
        <v>50</v>
      </c>
      <c r="G5" t="n">
        <v>12</v>
      </c>
      <c r="H5" s="31" t="inlineStr">
        <is>
          <t>psv_ninefold_staff</t>
        </is>
      </c>
    </row>
    <row r="6">
      <c r="A6" t="inlineStr">
        <is>
          <t>Nine_ToolThed_Rake</t>
        </is>
      </c>
      <c r="B6" s="2" t="inlineStr">
        <is>
          <t>Legendary</t>
        </is>
      </c>
      <c r="C6" s="37" t="inlineStr">
        <is>
          <t>Tanker</t>
        </is>
      </c>
      <c r="D6" t="n">
        <v>2000</v>
      </c>
      <c r="E6" t="n">
        <v>100</v>
      </c>
      <c r="F6" t="n">
        <v>200</v>
      </c>
      <c r="G6" t="n">
        <v>10</v>
      </c>
      <c r="H6" s="31" t="inlineStr">
        <is>
          <t>psv_nine_toothed_rake</t>
        </is>
      </c>
    </row>
    <row r="7">
      <c r="A7" t="inlineStr">
        <is>
          <t>Nimbus_Cloud</t>
        </is>
      </c>
      <c r="B7" s="3" t="inlineStr">
        <is>
          <t>Rare</t>
        </is>
      </c>
      <c r="C7" s="37" t="inlineStr">
        <is>
          <t>Mage</t>
        </is>
      </c>
      <c r="D7" t="n">
        <v>495</v>
      </c>
      <c r="E7" t="n">
        <v>121</v>
      </c>
      <c r="F7" t="n">
        <v>50</v>
      </c>
      <c r="G7" t="n">
        <v>12</v>
      </c>
      <c r="H7" s="31" t="inlineStr">
        <is>
          <t>psv_nimbus_cloud</t>
        </is>
      </c>
    </row>
    <row r="8">
      <c r="A8" t="inlineStr">
        <is>
          <t>Sunburst_Spade</t>
        </is>
      </c>
      <c r="B8" s="4" t="inlineStr">
        <is>
          <t>Common</t>
        </is>
      </c>
      <c r="C8" s="37" t="inlineStr">
        <is>
          <t>Normal</t>
        </is>
      </c>
      <c r="D8" t="n">
        <v>300</v>
      </c>
      <c r="E8" t="n">
        <v>40</v>
      </c>
      <c r="F8" t="n">
        <v>30</v>
      </c>
      <c r="G8" t="n">
        <v>4</v>
      </c>
      <c r="H8" s="31" t="inlineStr">
        <is>
          <t>psv_sunburst_spade</t>
        </is>
      </c>
    </row>
    <row r="9">
      <c r="A9" t="inlineStr">
        <is>
          <t>Reincarnation</t>
        </is>
      </c>
      <c r="B9" s="5" t="inlineStr">
        <is>
          <t>Epic</t>
        </is>
      </c>
      <c r="C9" s="37" t="inlineStr">
        <is>
          <t>Assassin</t>
        </is>
      </c>
      <c r="D9" t="n">
        <v>578</v>
      </c>
      <c r="E9" t="n">
        <v>214</v>
      </c>
      <c r="F9" t="n">
        <v>58</v>
      </c>
      <c r="G9" t="n">
        <v>21</v>
      </c>
      <c r="H9" s="31" t="inlineStr">
        <is>
          <t>psv_reincarnation</t>
        </is>
      </c>
    </row>
    <row r="10">
      <c r="A10" t="inlineStr">
        <is>
          <t>Ennead_spear</t>
        </is>
      </c>
      <c r="B10" s="6" t="inlineStr">
        <is>
          <t>Uncommon</t>
        </is>
      </c>
      <c r="C10" s="37" t="inlineStr">
        <is>
          <t>Normal</t>
        </is>
      </c>
      <c r="D10" t="n">
        <v>450</v>
      </c>
      <c r="E10" t="n">
        <v>60</v>
      </c>
      <c r="F10" t="n">
        <v>45</v>
      </c>
      <c r="G10" t="n">
        <v>6</v>
      </c>
      <c r="H10" s="31" t="inlineStr">
        <is>
          <t>psv_ennead_spear</t>
        </is>
      </c>
    </row>
    <row r="11">
      <c r="A11" t="inlineStr">
        <is>
          <t>Crescent_Axe</t>
        </is>
      </c>
      <c r="B11" s="4" t="inlineStr">
        <is>
          <t>Common</t>
        </is>
      </c>
      <c r="C11" s="37" t="inlineStr">
        <is>
          <t>Normal</t>
        </is>
      </c>
      <c r="D11" t="n">
        <v>300</v>
      </c>
      <c r="E11" t="n">
        <v>40</v>
      </c>
      <c r="F11" t="n">
        <v>30</v>
      </c>
      <c r="G11" t="n">
        <v>4</v>
      </c>
      <c r="H11" s="31" t="inlineStr">
        <is>
          <t>psv_crescent_axe</t>
        </is>
      </c>
    </row>
    <row r="12">
      <c r="A12" t="inlineStr">
        <is>
          <t>Bronze_Hammer</t>
        </is>
      </c>
      <c r="B12" s="6" t="inlineStr">
        <is>
          <t>Uncommon</t>
        </is>
      </c>
      <c r="C12" s="37" t="inlineStr">
        <is>
          <t>Tanker</t>
        </is>
      </c>
      <c r="D12" t="n">
        <v>600</v>
      </c>
      <c r="E12" t="n">
        <v>30</v>
      </c>
      <c r="F12" t="n">
        <v>60</v>
      </c>
      <c r="G12" t="n">
        <v>3</v>
      </c>
      <c r="H12" s="31" t="inlineStr">
        <is>
          <t>psv_bronze_hammer</t>
        </is>
      </c>
    </row>
    <row r="13">
      <c r="A13" t="inlineStr">
        <is>
          <t>Moonlit_Firelfy</t>
        </is>
      </c>
      <c r="B13" s="2" t="inlineStr">
        <is>
          <t>Legendary</t>
        </is>
      </c>
      <c r="C13" s="37" t="inlineStr">
        <is>
          <t>Mage</t>
        </is>
      </c>
      <c r="D13" t="n">
        <v>1125</v>
      </c>
      <c r="E13" t="n">
        <v>275</v>
      </c>
      <c r="F13" t="n">
        <v>113</v>
      </c>
      <c r="G13" t="n">
        <v>28</v>
      </c>
      <c r="H13" s="31" t="inlineStr">
        <is>
          <t>psv_moonlit_firefly</t>
        </is>
      </c>
    </row>
    <row r="14">
      <c r="A14" t="inlineStr">
        <is>
          <t>Plantain_Fan</t>
        </is>
      </c>
      <c r="B14" s="5" t="inlineStr">
        <is>
          <t>Epic</t>
        </is>
      </c>
      <c r="C14" s="37" t="inlineStr">
        <is>
          <t>Mage</t>
        </is>
      </c>
      <c r="D14" t="n">
        <v>742</v>
      </c>
      <c r="E14" t="n">
        <v>182</v>
      </c>
      <c r="F14" t="n">
        <v>74</v>
      </c>
      <c r="G14" t="n">
        <v>18</v>
      </c>
      <c r="H14" s="31" t="inlineStr">
        <is>
          <t>psv_plantain_fan</t>
        </is>
      </c>
    </row>
    <row r="15">
      <c r="A15" t="inlineStr">
        <is>
          <t>Wings_of_Phoenix</t>
        </is>
      </c>
      <c r="B15" s="2" t="inlineStr">
        <is>
          <t>Legendary</t>
        </is>
      </c>
      <c r="C15" s="37" t="inlineStr">
        <is>
          <t>Support</t>
        </is>
      </c>
      <c r="D15" t="n">
        <v>1750</v>
      </c>
      <c r="E15" t="n">
        <v>150</v>
      </c>
      <c r="F15" t="n">
        <v>175</v>
      </c>
      <c r="G15" t="n">
        <v>15</v>
      </c>
      <c r="H15" s="31" t="inlineStr">
        <is>
          <t>psv_wings_of_phoenix</t>
        </is>
      </c>
    </row>
    <row r="16">
      <c r="A16" t="inlineStr">
        <is>
          <t>Windfire_Wheel</t>
        </is>
      </c>
      <c r="B16" s="5" t="inlineStr">
        <is>
          <t>Epic</t>
        </is>
      </c>
      <c r="C16" s="37" t="inlineStr">
        <is>
          <t>Fighter</t>
        </is>
      </c>
      <c r="D16" t="n">
        <v>1375</v>
      </c>
      <c r="E16" t="n">
        <v>225</v>
      </c>
      <c r="F16" t="n">
        <v>138</v>
      </c>
      <c r="G16" t="n">
        <v>23</v>
      </c>
      <c r="H16" s="30" t="inlineStr">
        <is>
          <t>psv_vanguard_of_volition</t>
        </is>
      </c>
    </row>
    <row r="17">
      <c r="A17" t="inlineStr">
        <is>
          <t>Wooden_Staff</t>
        </is>
      </c>
      <c r="B17" s="2" t="inlineStr">
        <is>
          <t>Legendary</t>
        </is>
      </c>
      <c r="C17" s="37" t="inlineStr">
        <is>
          <t>Normal</t>
        </is>
      </c>
      <c r="D17" t="n">
        <v>300</v>
      </c>
      <c r="E17" t="n">
        <v>40</v>
      </c>
      <c r="F17" t="n">
        <v>30</v>
      </c>
      <c r="G17" t="n">
        <v>4</v>
      </c>
    </row>
    <row r="18">
      <c r="A18" t="inlineStr">
        <is>
          <t>LingLong_Pagoda</t>
        </is>
      </c>
      <c r="B18" s="2" t="inlineStr">
        <is>
          <t>Legendary</t>
        </is>
      </c>
      <c r="C18" t="inlineStr">
        <is>
          <t>Tanker</t>
        </is>
      </c>
      <c r="D18" t="n">
        <v>2200</v>
      </c>
      <c r="E18" t="n">
        <v>120</v>
      </c>
      <c r="F18" t="n">
        <v>220</v>
      </c>
      <c r="G18" t="n">
        <v>12</v>
      </c>
      <c r="H18" t="inlineStr">
        <is>
          <t>psv_linglong_pagoda</t>
        </is>
      </c>
    </row>
    <row r="19">
      <c r="A19" t="inlineStr">
        <is>
          <t>Ferrous_Chaos</t>
        </is>
      </c>
      <c r="B19" s="2" t="inlineStr">
        <is>
          <t>Legendary</t>
        </is>
      </c>
      <c r="C19" s="37" t="inlineStr">
        <is>
          <t>Fighter</t>
        </is>
      </c>
      <c r="D19" t="n">
        <v>1375</v>
      </c>
      <c r="E19" t="n">
        <v>225</v>
      </c>
      <c r="F19" t="n">
        <v>138</v>
      </c>
      <c r="G19" t="n">
        <v>23</v>
      </c>
      <c r="H19" s="31" t="inlineStr">
        <is>
          <t>psv_ferrous_chaos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C25" sqref="C25"/>
    </sheetView>
  </sheetViews>
  <sheetFormatPr baseColWidth="8" defaultRowHeight="15"/>
  <cols>
    <col width="24.7109375" bestFit="1" customWidth="1" style="35" min="1" max="1"/>
    <col width="34.7109375" bestFit="1" customWidth="1" style="35" min="2" max="2"/>
    <col width="102.7109375" customWidth="1" style="35" min="3" max="3"/>
  </cols>
  <sheetData>
    <row r="1">
      <c r="A1" s="16" t="inlineStr">
        <is>
          <t>ID</t>
        </is>
      </c>
      <c r="B1" s="16" t="inlineStr">
        <is>
          <t>desc_template</t>
        </is>
      </c>
      <c r="C1" s="16" t="inlineStr">
        <is>
          <t>Note</t>
        </is>
      </c>
    </row>
    <row r="2">
      <c r="A2" s="31" t="inlineStr">
        <is>
          <t>psv_nimbus_cudgel</t>
        </is>
      </c>
      <c r="B2" t="inlineStr">
        <is>
          <t>STR_NIMBUS_CUDGEL_SKILL</t>
        </is>
      </c>
      <c r="C2" t="inlineStr">
        <is>
          <t>Tấn công và phòng thủ tăng {0}%. Sau khi tấn công đơn, nếu đánh bại mục tiêu thì điểm hành động tăng {1}%.</t>
        </is>
      </c>
    </row>
    <row r="3">
      <c r="A3" s="31" t="inlineStr">
        <is>
          <t>psv_triple_edged_blade</t>
        </is>
      </c>
      <c r="B3" t="inlineStr">
        <is>
          <t>STR_TRIPLE_EDGED_BLADE_SKILL</t>
        </is>
      </c>
      <c r="C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s="31" t="inlineStr">
        <is>
          <t>psv_vanguard_of_volition</t>
        </is>
      </c>
      <c r="B4" t="inlineStr">
        <is>
          <t>STR_VANGUARD_OF_VOLITION_SKILL</t>
        </is>
      </c>
      <c r="C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s="31" t="inlineStr">
        <is>
          <t>psv_ninefold_staff</t>
        </is>
      </c>
      <c r="B5" t="inlineStr">
        <is>
          <t>STR_NINEFOLD_STAFF_SKILL</t>
        </is>
      </c>
      <c r="C5" t="inlineStr">
        <is>
          <t>Hiệu quả chính xác tăng {0}%. Khi bắt đầu hiệp, nếu bản thân có hiệu ứng suy yếu, có {1}% xác suất xóa 1 hiệu ứng suy yếu.</t>
        </is>
      </c>
    </row>
    <row r="6">
      <c r="A6" s="31" t="inlineStr">
        <is>
          <t>psv_nine_toothed_rake</t>
        </is>
      </c>
      <c r="B6" t="inlineStr">
        <is>
          <t>STR_NINE_TOOLTHED_RAKE_SKILL</t>
        </is>
      </c>
      <c r="C6" t="inlineStr">
        <is>
          <t>HP và hiệu quả chính xác tăng {0}% . Khi chịu tấn côn đơn thế. Phòng thủ tăng {1}%, tối đa cộng dồn 6 tầng.</t>
        </is>
      </c>
    </row>
    <row r="7">
      <c r="A7" s="31" t="inlineStr">
        <is>
          <t>psv_nimbus_cloud</t>
        </is>
      </c>
      <c r="B7" t="inlineStr">
        <is>
          <t>STR_NIMBUS_CLOUD_SKILL</t>
        </is>
      </c>
      <c r="C7" t="inlineStr">
        <is>
          <t>Khi bị tấn công phạm vi, điểm hành động của bản thân tăng {0)%.</t>
        </is>
      </c>
    </row>
    <row r="8">
      <c r="A8" s="31" t="inlineStr">
        <is>
          <t>psv_sunburst_spade</t>
        </is>
      </c>
      <c r="B8" t="inlineStr">
        <is>
          <t>STR_SUNBURST_SPADE_SKILL</t>
        </is>
      </c>
      <c r="C8" t="inlineStr">
        <is>
          <t>ST tấn công đơn tăng {0}%.</t>
        </is>
      </c>
    </row>
    <row r="9">
      <c r="A9" s="31" t="inlineStr">
        <is>
          <t>psv_reincarnation</t>
        </is>
      </c>
      <c r="B9" t="inlineStr">
        <is>
          <t>STR_REINCARNATION_SKILL</t>
        </is>
      </c>
      <c r="C9" t="inlineStr">
        <is>
          <t>Tấn công tăng {0}%. Khi tấn công đơn, có {1}% xác xuất gây Xé Toạc cho mục tiêu tân công, duy trì 2 hiệp.</t>
        </is>
      </c>
    </row>
    <row r="10">
      <c r="A10" s="31" t="inlineStr">
        <is>
          <t>psv_ennead_spear</t>
        </is>
      </c>
      <c r="B10" t="inlineStr">
        <is>
          <t>STR_ENNEAD_SPEAR_SKILL</t>
        </is>
      </c>
      <c r="C10" t="inlineStr">
        <is>
          <t>Tỷ lệ bạo kích tăng {0}%.</t>
        </is>
      </c>
    </row>
    <row r="11">
      <c r="A11" s="31" t="inlineStr">
        <is>
          <t>psv_crescent_axe</t>
        </is>
      </c>
      <c r="B11" t="inlineStr">
        <is>
          <t>STR_CRESCENT_AXE_SKILL</t>
        </is>
      </c>
      <c r="C11" t="inlineStr">
        <is>
          <t xml:space="preserve">ST Bạo Kích tăng {0}%. </t>
        </is>
      </c>
    </row>
    <row r="12">
      <c r="A12" s="31" t="inlineStr">
        <is>
          <t>psv_bronze_hammer</t>
        </is>
      </c>
      <c r="B12" t="inlineStr">
        <is>
          <t>STR_BRONZE_HAMMER_SKILL</t>
        </is>
      </c>
      <c r="C12" t="inlineStr">
        <is>
          <t>Phòng thủ tăng {0}%.</t>
        </is>
      </c>
    </row>
    <row r="13">
      <c r="A13" s="31" t="inlineStr">
        <is>
          <t>psv_moonlit_firefly</t>
        </is>
      </c>
      <c r="B13" t="inlineStr">
        <is>
          <t>STR_MOONLIT_FIREFLY_SKILL</t>
        </is>
      </c>
      <c r="C13" t="inlineStr">
        <is>
          <t>Tấn công và phòng thủ tăng {0}%. Sau khi thi triển kỹ năng không phải tấn công, có {1}% xác suất hiệp hồi chiêu -1.</t>
        </is>
      </c>
    </row>
    <row r="14">
      <c r="A14" s="31" t="inlineStr">
        <is>
          <t>psv_plantain_fan</t>
        </is>
      </c>
      <c r="B14" t="inlineStr">
        <is>
          <t>STR_PLANTAIN_FAN_SKILL</t>
        </is>
      </c>
      <c r="C14" t="inlineStr">
        <is>
          <t>Tăng {0}% Hiệu quả Chính Xác.Các đòn tấn công đơn mục tiêu có {1}% cơ hội gây hiệu ứng Đánh Dấu lên mục tiêu trong 1 lượt.</t>
        </is>
      </c>
    </row>
    <row r="15">
      <c r="A15" s="31" t="inlineStr">
        <is>
          <t>psv_wings_of_phoenix</t>
        </is>
      </c>
      <c r="B15" t="inlineStr">
        <is>
          <t>STR_WINGS_OF_PHOENIX_SKILL</t>
        </is>
      </c>
      <c r="C15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6">
      <c r="A16" s="31" t="inlineStr">
        <is>
          <t>psv_sunwukong_major</t>
        </is>
      </c>
      <c r="B16" t="inlineStr">
        <is>
          <t>STR_SUNWUKONG_MAJOR_PASSIVE</t>
        </is>
      </c>
      <c r="C16" t="inlineStr">
        <is>
          <t>Kỹ năng Major hút máu 25% sát thương gây ra</t>
        </is>
      </c>
    </row>
    <row r="17">
      <c r="A17" s="31" t="inlineStr">
        <is>
          <t>psv_sunwukong_ultiamte</t>
        </is>
      </c>
      <c r="B17" t="inlineStr">
        <is>
          <t>STR_SUNWUKONG_ULT_PASSIVE</t>
        </is>
      </c>
      <c r="C17" t="inlineStr">
        <is>
          <t>Tuyệt kỹ giảm 25% Giáp mục tiêu</t>
        </is>
      </c>
    </row>
    <row r="18">
      <c r="A18" t="inlineStr">
        <is>
          <t>psv_erlangshen_major</t>
        </is>
      </c>
      <c r="B18" t="inlineStr">
        <is>
          <t>STR_ERLANGSHEN_MAJOR_PASSIVE</t>
        </is>
      </c>
      <c r="C18" t="inlineStr">
        <is>
          <t>Kỹ năng Major tăng thêm 100% Sát thương Bạo Kích</t>
        </is>
      </c>
    </row>
    <row r="19">
      <c r="A19" t="inlineStr">
        <is>
          <t>psv_lijing_base</t>
        </is>
      </c>
      <c r="B19" t="inlineStr">
        <is>
          <t>STR_PSV_LIJING_BASE_DESC</t>
        </is>
      </c>
      <c r="C19" t="inlineStr">
        <is>
          <t>Đánh thường nhận khiên 5% Max HP (max 5 tầng)</t>
        </is>
      </c>
    </row>
    <row r="20">
      <c r="A20" t="inlineStr">
        <is>
          <t>psv_lijing_ultimate</t>
        </is>
      </c>
      <c r="B20" t="inlineStr">
        <is>
          <t>STR_PSV_LIJING_ULT_DESC</t>
        </is>
      </c>
      <c r="C20" t="inlineStr">
        <is>
          <t>Tuyệt kỹ nộ tăng 30% Max HP vào Base Damage</t>
        </is>
      </c>
    </row>
    <row r="21">
      <c r="A21" t="inlineStr">
        <is>
          <t>psv_erlangshen_ultimate</t>
        </is>
      </c>
      <c r="B21" t="inlineStr">
        <is>
          <t>STR_ERLANGSHEN_ULT_PASSIVE</t>
        </is>
      </c>
      <c r="C21" t="inlineStr">
        <is>
          <t>Tuyệt kỹ có 30% Xuyên Giáp</t>
        </is>
      </c>
    </row>
    <row r="22">
      <c r="A22" t="inlineStr">
        <is>
          <t>psv_linglong_pagoda</t>
        </is>
      </c>
      <c r="B22" t="inlineStr">
        <is>
          <t>STR_LINGLONG_PAGODA_SKILL</t>
        </is>
      </c>
      <c r="C22" t="inlineStr">
        <is>
          <t>Tăng 15%, 20%, 25%, 30%, 35% HP và giảm 10% sát thương nhận vào</t>
        </is>
      </c>
    </row>
    <row r="23">
      <c r="A23" t="inlineStr">
        <is>
          <t>psv_bulldemonking_counter</t>
        </is>
      </c>
      <c r="B23" t="inlineStr">
        <is>
          <t>STR_BULL_COUNTER_NAME</t>
        </is>
      </c>
      <c r="C23" t="inlineStr">
        <is>
          <t>Có 50%, 75%, 100% cơ hội phản kích khi bị đánh thường</t>
        </is>
      </c>
      <c r="D23" t="inlineStr">
        <is>
          <t>STR_BULL_COUNTER_DES</t>
        </is>
      </c>
    </row>
    <row r="24">
      <c r="A24" t="inlineStr">
        <is>
          <t>psv_ferrous_chaos</t>
        </is>
      </c>
      <c r="B24" t="inlineStr">
        <is>
          <t>STR_FERROUS_CHAOS_SKILL</t>
        </is>
      </c>
      <c r="C24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24" sqref="E24"/>
    </sheetView>
  </sheetViews>
  <sheetFormatPr baseColWidth="8" defaultRowHeight="15"/>
  <cols>
    <col width="24.7109375" bestFit="1" customWidth="1" style="35" min="1" max="1"/>
    <col width="13.28515625" customWidth="1" style="35" min="2" max="2"/>
    <col width="16.28515625" customWidth="1" style="35" min="3" max="3"/>
    <col width="20.5703125" customWidth="1" style="35" min="4" max="4"/>
    <col width="72.5703125" customWidth="1" style="35" min="5" max="5"/>
  </cols>
  <sheetData>
    <row r="1">
      <c r="A1" t="inlineStr">
        <is>
          <t>passive_id</t>
        </is>
      </c>
      <c r="B1" t="inlineStr">
        <is>
          <t>stat_type</t>
        </is>
      </c>
      <c r="C1" t="inlineStr">
        <is>
          <t>modify_type</t>
        </is>
      </c>
      <c r="D1" t="inlineStr">
        <is>
          <t>modify_by_upgrade</t>
        </is>
      </c>
      <c r="E1" t="inlineStr">
        <is>
          <t>Note</t>
        </is>
      </c>
    </row>
    <row r="2">
      <c r="A2" t="inlineStr">
        <is>
          <t>psv_nimbus_cudgel</t>
        </is>
      </c>
      <c r="B2" t="inlineStr">
        <is>
          <t>ATK</t>
        </is>
      </c>
      <c r="C2" t="inlineStr">
        <is>
          <t>Percent</t>
        </is>
      </c>
      <c r="D2" t="inlineStr">
        <is>
          <t>10, 15, 20, 25, 30, 35</t>
        </is>
      </c>
      <c r="E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psv_nimbus_cudgel</t>
        </is>
      </c>
      <c r="B3" t="inlineStr">
        <is>
          <t>DEF</t>
        </is>
      </c>
      <c r="C3" t="inlineStr">
        <is>
          <t>Percent</t>
        </is>
      </c>
      <c r="D3" t="inlineStr">
        <is>
          <t>10, 15, 20, 25, 30, 35</t>
        </is>
      </c>
      <c r="E3" t="inlineStr">
        <is>
          <t>Tấn công và phòng thủ tăng {0}%. Sau khi tấn công đơn, nếu đánh bại mục tiêu thì điểm hành động tăng {1}%.</t>
        </is>
      </c>
    </row>
    <row r="4">
      <c r="A4" t="inlineStr">
        <is>
          <t>psv_triple_edged_blade</t>
        </is>
      </c>
      <c r="B4" t="inlineStr">
        <is>
          <t>CRIT_DMG</t>
        </is>
      </c>
      <c r="C4" t="inlineStr">
        <is>
          <t>Percent</t>
        </is>
      </c>
      <c r="D4" t="inlineStr">
        <is>
          <t>30, 36, 42, 48, 54, 60</t>
        </is>
      </c>
      <c r="E4" t="inlineStr">
        <is>
          <t>ST Bạo kích tăng {0}%. Sau khi thi triển kỹ năng tấn công đơn đánh bại mục tiêu, có {1}% xác suất hiệp hồi chiêu kỹ năng của bản thân -1.</t>
        </is>
      </c>
    </row>
    <row r="5">
      <c r="A5" t="inlineStr">
        <is>
          <t>psv_vanguard_of_volition</t>
        </is>
      </c>
      <c r="B5" t="inlineStr">
        <is>
          <t>CRIT_DMG</t>
        </is>
      </c>
      <c r="C5" t="inlineStr">
        <is>
          <t>Percent</t>
        </is>
      </c>
      <c r="D5" t="inlineStr">
        <is>
          <t>10, 15, 20, 25, 31, 34</t>
        </is>
      </c>
      <c r="E5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6">
      <c r="A6" t="inlineStr">
        <is>
          <t>psv_ninefold_staff</t>
        </is>
      </c>
      <c r="B6" t="inlineStr">
        <is>
          <t>EHR</t>
        </is>
      </c>
      <c r="C6" t="inlineStr">
        <is>
          <t>Percent</t>
        </is>
      </c>
      <c r="D6" t="inlineStr">
        <is>
          <t>10, 15, 20, 25, 31, 34</t>
        </is>
      </c>
      <c r="E6" t="inlineStr">
        <is>
          <t>Hiệu quả chính xác tăng {0}%. Khi bắt đầu hiệp, nếu bản thân có hiệu ứng suy yếu, có {1}% xác suất xóa 1 hiệu ứng suy yếu.</t>
        </is>
      </c>
    </row>
    <row r="7">
      <c r="A7" t="inlineStr">
        <is>
          <t>psv_nine_toothed_rake</t>
        </is>
      </c>
      <c r="B7" t="inlineStr">
        <is>
          <t>HP</t>
        </is>
      </c>
      <c r="C7" t="inlineStr">
        <is>
          <t>Percent</t>
        </is>
      </c>
      <c r="D7" t="inlineStr">
        <is>
          <t>5, 7.5, 10, 12.5, 16, 20</t>
        </is>
      </c>
      <c r="E7" t="inlineStr">
        <is>
          <t>HP và hiệu quả chính xác tăng {0}% . Khi chịu tấn côn đơn thế. Phòng thủ tăng {1}%, tối đa cộng dồn 6 tầng.</t>
        </is>
      </c>
    </row>
    <row r="8">
      <c r="A8" t="inlineStr">
        <is>
          <t>psv_nine_toothed_rake</t>
        </is>
      </c>
      <c r="B8" t="inlineStr">
        <is>
          <t>EHR</t>
        </is>
      </c>
      <c r="C8" t="inlineStr">
        <is>
          <t>Percent</t>
        </is>
      </c>
      <c r="D8" t="inlineStr">
        <is>
          <t>5, 7.5, 10, 12.5, 16, 20</t>
        </is>
      </c>
      <c r="E8" t="inlineStr">
        <is>
          <t>HP và hiệu quả chính xác tăng {0}% . Khi chịu tấn côn đơn thế. Phòng thủ tăng {1}%, tối đa cộng dồn 6 tầng.</t>
        </is>
      </c>
    </row>
    <row r="9">
      <c r="A9" t="inlineStr">
        <is>
          <t>psv_reincarnation</t>
        </is>
      </c>
      <c r="B9" t="inlineStr">
        <is>
          <t>ATK</t>
        </is>
      </c>
      <c r="C9" t="inlineStr">
        <is>
          <t>Percent</t>
        </is>
      </c>
      <c r="D9" t="inlineStr">
        <is>
          <t>10, 15, 20, 25, 35, 40</t>
        </is>
      </c>
      <c r="E9" t="inlineStr">
        <is>
          <t>Tấn công tăng {0}%. Khi tấn công đơn, có {1}% xác xuất gây Xé Toạc cho mục tiêu tân công, duy trì 2 hiệp.</t>
        </is>
      </c>
    </row>
    <row r="10">
      <c r="A10" t="inlineStr">
        <is>
          <t>psv_ennead_spear</t>
        </is>
      </c>
      <c r="B10" t="inlineStr">
        <is>
          <t>CRIT_RATE</t>
        </is>
      </c>
      <c r="C10" t="inlineStr">
        <is>
          <t>Percent</t>
        </is>
      </c>
      <c r="D10" t="inlineStr">
        <is>
          <t>5, 7.5, 10, 12.5, 16, 20</t>
        </is>
      </c>
      <c r="E10" t="inlineStr">
        <is>
          <t>Tỷ lệ bạo kích tăng {0}%.</t>
        </is>
      </c>
    </row>
    <row r="11">
      <c r="A11" t="inlineStr">
        <is>
          <t>psv_crescent_axe</t>
        </is>
      </c>
      <c r="B11" t="inlineStr">
        <is>
          <t>CRIT_DMG</t>
        </is>
      </c>
      <c r="C11" t="inlineStr">
        <is>
          <t>Percent</t>
        </is>
      </c>
      <c r="D11" t="inlineStr">
        <is>
          <t>5, 7.5, 10, 12.5, 17,, 21</t>
        </is>
      </c>
      <c r="E11" t="inlineStr">
        <is>
          <t xml:space="preserve">ST Bạo Kích tăng {0}%. </t>
        </is>
      </c>
    </row>
    <row r="12">
      <c r="A12" t="inlineStr">
        <is>
          <t>psv_bronze_hammer</t>
        </is>
      </c>
      <c r="B12" t="inlineStr">
        <is>
          <t>SPEED</t>
        </is>
      </c>
      <c r="C12" t="inlineStr">
        <is>
          <t>Percent</t>
        </is>
      </c>
      <c r="D12" t="inlineStr">
        <is>
          <t>5, 7.5, 10, 12.5, 17,, 22</t>
        </is>
      </c>
      <c r="E12" t="inlineStr">
        <is>
          <t>Phòng thủ tăng {0}%.</t>
        </is>
      </c>
    </row>
    <row r="13">
      <c r="A13" t="inlineStr">
        <is>
          <t>psv_moonlit_firefly</t>
        </is>
      </c>
      <c r="B13" t="inlineStr">
        <is>
          <t>DEF</t>
        </is>
      </c>
      <c r="C13" t="inlineStr">
        <is>
          <t>Percent</t>
        </is>
      </c>
      <c r="D13" t="inlineStr">
        <is>
          <t>5, 7.5, 10, 12.5, 17,, 23</t>
        </is>
      </c>
      <c r="E13" t="inlineStr">
        <is>
          <t>Tấn công và phòng thủ tăng {0}%. Sau khi thi triển kỹ năng không phải tấn công, có {1}% xác suất hiệp hồi chiêu -1.</t>
        </is>
      </c>
    </row>
    <row r="14">
      <c r="A14" t="inlineStr">
        <is>
          <t>psv_moonlit_firefly</t>
        </is>
      </c>
      <c r="B14" t="inlineStr">
        <is>
          <t>ATK</t>
        </is>
      </c>
      <c r="C14" t="inlineStr">
        <is>
          <t>Percent</t>
        </is>
      </c>
      <c r="D14" t="inlineStr">
        <is>
          <t>5, 7.5, 10, 12.5, 17,, 24</t>
        </is>
      </c>
      <c r="E14" t="inlineStr">
        <is>
          <t>Tấn công và phòng thủ tăng {0}%. Sau khi thi triển kỹ năng không phải tấn công, có {1}% xác suất hiệp hồi chiêu -1.</t>
        </is>
      </c>
    </row>
    <row r="15">
      <c r="A15" t="inlineStr">
        <is>
          <t>psv_plantain_fan</t>
        </is>
      </c>
      <c r="B15" t="inlineStr">
        <is>
          <t>EHR</t>
        </is>
      </c>
      <c r="C15" t="inlineStr">
        <is>
          <t>Percent</t>
        </is>
      </c>
      <c r="D15" t="inlineStr">
        <is>
          <t>10, 15, 20, 25, 34, 40</t>
        </is>
      </c>
      <c r="E15" t="inlineStr">
        <is>
          <t>Tăng {0}% Hiệu quả Chính Xác.Các đòn tấn công đơn mục tiêu có {1}% cơ hội gây hiệu ứng Đánh Dấu lên mục tiêu trong 1 lượt.</t>
        </is>
      </c>
    </row>
    <row r="16">
      <c r="A16" t="inlineStr">
        <is>
          <t>psv_wings_of_phoenix</t>
        </is>
      </c>
      <c r="B16" t="inlineStr">
        <is>
          <t>RES</t>
        </is>
      </c>
      <c r="C16" t="inlineStr">
        <is>
          <t>Percent</t>
        </is>
      </c>
      <c r="D16" t="inlineStr">
        <is>
          <t>10, 15, 20, 25, 34, 41</t>
        </is>
      </c>
      <c r="E16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7">
      <c r="A17" t="inlineStr">
        <is>
          <t>psv_linglong_pagoda</t>
        </is>
      </c>
      <c r="B17" t="inlineStr">
        <is>
          <t>HP</t>
        </is>
      </c>
      <c r="C17" t="inlineStr">
        <is>
          <t>Percent</t>
        </is>
      </c>
      <c r="D17" t="inlineStr">
        <is>
          <t>15, 20, 25, 30, 35, 40</t>
        </is>
      </c>
      <c r="E17" t="inlineStr">
        <is>
          <t>HP tối đa tăng {0}%</t>
        </is>
      </c>
    </row>
    <row r="18">
      <c r="A18" t="inlineStr">
        <is>
          <t>psv_ferrous_chaos</t>
        </is>
      </c>
      <c r="B18" t="inlineStr">
        <is>
          <t>ATK</t>
        </is>
      </c>
      <c r="C18" t="inlineStr">
        <is>
          <t>Percent</t>
        </is>
      </c>
      <c r="D18" t="inlineStr">
        <is>
          <t>10, 15, 20, 25, 30, 35</t>
        </is>
      </c>
      <c r="E18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  <row r="19">
      <c r="A19" t="inlineStr">
        <is>
          <t>psv_ferrous_chaos</t>
        </is>
      </c>
      <c r="B19" t="inlineStr">
        <is>
          <t>DEF</t>
        </is>
      </c>
      <c r="C19" t="inlineStr">
        <is>
          <t>Percent</t>
        </is>
      </c>
      <c r="D19" t="inlineStr">
        <is>
          <t>10, 15, 20, 25, 30, 35</t>
        </is>
      </c>
      <c r="E19" t="inlineStr">
        <is>
          <t>Tăng {0}% Tấn Công và {0}% Phòng Thủ. Trạng thái Áp Đảo (HP &gt; 50%) tăng 16% Sát thương Kỹ năng. Trạng thái Huyết Chiến (HP ≤ 50%) nhận 16% Hút Máu tương đương 16% tổng sát thương gây ra.</t>
        </is>
      </c>
    </row>
  </sheetData>
  <dataValidations count="1">
    <dataValidation sqref="B2:B16" showDropDown="0" showInputMessage="1" showErrorMessage="1" allowBlank="1" type="list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tabSelected="1" zoomScale="115" zoomScaleNormal="115" workbookViewId="0">
      <selection activeCell="E24" sqref="E24"/>
    </sheetView>
  </sheetViews>
  <sheetFormatPr baseColWidth="8" defaultRowHeight="15"/>
  <cols>
    <col width="26.7109375" customWidth="1" style="35" min="1" max="1"/>
    <col width="19.7109375" bestFit="1" customWidth="1" style="35" min="2" max="2"/>
    <col width="31.5703125" customWidth="1" style="35" min="3" max="3"/>
    <col width="35.28515625" customWidth="1" style="35" min="4" max="4"/>
    <col width="30" bestFit="1" customWidth="1" style="35" min="5" max="5"/>
    <col width="23.28515625" customWidth="1" style="35" min="6" max="8"/>
    <col width="67.42578125" customWidth="1" style="35" min="9" max="9"/>
  </cols>
  <sheetData>
    <row r="1">
      <c r="A1" t="inlineStr">
        <is>
          <t>passive_id</t>
        </is>
      </c>
      <c r="B1" t="inlineStr">
        <is>
          <t>event_type</t>
        </is>
      </c>
      <c r="C1" t="inlineStr">
        <is>
          <t>effect_id</t>
        </is>
      </c>
      <c r="D1" t="inlineStr">
        <is>
          <t>modify_by_upgrade</t>
        </is>
      </c>
      <c r="E1" t="inlineStr">
        <is>
          <t>condition_filter</t>
        </is>
      </c>
      <c r="F1" t="inlineStr">
        <is>
          <t>effect_param</t>
        </is>
      </c>
      <c r="G1" t="inlineStr">
        <is>
          <t>internal_cooldown</t>
        </is>
      </c>
      <c r="H1" t="inlineStr">
        <is>
          <t>target</t>
        </is>
      </c>
      <c r="I1" t="inlineStr">
        <is>
          <t>Note</t>
        </is>
      </c>
    </row>
    <row r="2">
      <c r="A2" t="inlineStr">
        <is>
          <t>psv_nimbus_cudgel</t>
        </is>
      </c>
      <c r="B2" t="inlineStr">
        <is>
          <t>OnAfterSkillExcute</t>
        </is>
      </c>
      <c r="C2" t="inlineStr">
        <is>
          <t>Eff_Action_Point_Boost</t>
        </is>
      </c>
      <c r="D2" t="inlineStr">
        <is>
          <t>20, 25, 30, 35, 40, 50</t>
        </is>
      </c>
      <c r="E2" t="inlineStr">
        <is>
          <t>SingleTarget, TargetDead</t>
        </is>
      </c>
      <c r="F2" t="n">
        <v>0</v>
      </c>
      <c r="H2" t="inlineStr">
        <is>
          <t>self</t>
        </is>
      </c>
      <c r="I2" t="inlineStr">
        <is>
          <t>Tấn công và phòng thủ tăng {0}%. Sau khi tấn công đơn, nếu đánh bại mục tiêu thì điểm hành động tăng {1}%.</t>
        </is>
      </c>
    </row>
    <row r="3">
      <c r="A3" t="inlineStr">
        <is>
          <t>psv_triple_edged_blade</t>
        </is>
      </c>
      <c r="B3" t="inlineStr">
        <is>
          <t>OnAfterSkillExcute</t>
        </is>
      </c>
      <c r="C3" t="inlineStr">
        <is>
          <t>Eff_Reduce_Cooldown</t>
        </is>
      </c>
      <c r="D3" t="inlineStr">
        <is>
          <t>30.0, 40.0, 50.0, 60.0, 70.0, 80.0</t>
        </is>
      </c>
      <c r="E3" t="inlineStr">
        <is>
          <t>IsSkill, SingleTarget, TargetDead</t>
        </is>
      </c>
      <c r="F3" t="n">
        <v>1</v>
      </c>
      <c r="G3" t="n">
        <v>0</v>
      </c>
      <c r="H3" t="inlineStr">
        <is>
          <t>self</t>
        </is>
      </c>
      <c r="I3" t="inlineStr">
        <is>
          <t>ST Bạo kích tăng {0}%. Sau khi thi triển kỹ năng tấn công đơn đánh bại mục tiêu, có {1}% xác suất hiệp hồi chiêu kỹ năng của bản thân -1.</t>
        </is>
      </c>
    </row>
    <row r="4">
      <c r="A4" t="inlineStr">
        <is>
          <t>psv_vanguard_of_volition</t>
        </is>
      </c>
      <c r="B4" t="inlineStr">
        <is>
          <t>OnAfterSkillExcute</t>
        </is>
      </c>
      <c r="C4" t="inlineStr">
        <is>
          <t>Eff_FollowUp_BasicAttack</t>
        </is>
      </c>
      <c r="D4" t="inlineStr">
        <is>
          <t>30.0, 40.0, 50.0, 60.0, 70.0, 80.0</t>
        </is>
      </c>
      <c r="E4" t="inlineStr">
        <is>
          <t>SingleTarget, TargetAlive</t>
        </is>
      </c>
      <c r="G4" t="n">
        <v>1</v>
      </c>
      <c r="H4" t="inlineStr">
        <is>
          <t>self</t>
        </is>
      </c>
      <c r="I4" t="inlineStr">
        <is>
      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      </is>
      </c>
    </row>
    <row r="5">
      <c r="A5" t="inlineStr">
        <is>
          <t>psv_ninefold_staff</t>
        </is>
      </c>
      <c r="B5" t="inlineStr">
        <is>
          <t>OnSkillStart</t>
        </is>
      </c>
      <c r="C5" t="inlineStr">
        <is>
          <t>Eff_Cleanse</t>
        </is>
      </c>
      <c r="D5" t="inlineStr">
        <is>
          <t>30.0, 40.0, 50.0, 60.0, 70.0, 80.0</t>
        </is>
      </c>
      <c r="E5" t="inlineStr">
        <is>
          <t>HasDebuff</t>
        </is>
      </c>
      <c r="F5" t="n">
        <v>1</v>
      </c>
      <c r="G5" t="n">
        <v>0</v>
      </c>
      <c r="H5" t="inlineStr">
        <is>
          <t>self</t>
        </is>
      </c>
      <c r="I5" t="inlineStr">
        <is>
          <t>Hiệu quả chính xác tăng {0}%. Khi bắt đầu hiệp, nếu bản thân có hiệu ứng suy yếu, có {1}% xác suất xóa 1 hiệu ứng suy yếu.</t>
        </is>
      </c>
    </row>
    <row r="6">
      <c r="A6" t="inlineStr">
        <is>
          <t>psv_nine_toothed_rake</t>
        </is>
      </c>
      <c r="B6" t="inlineStr">
        <is>
          <t>OnTakeDamage</t>
        </is>
      </c>
      <c r="C6" t="inlineStr">
        <is>
          <t>Eff_Stackable_DEF_Buff</t>
        </is>
      </c>
      <c r="D6" t="inlineStr">
        <is>
          <t>4.0, 5.0, 6.0, 7.0, 8.0, 10.0</t>
        </is>
      </c>
      <c r="E6" t="inlineStr">
        <is>
          <t>SingleTarget</t>
        </is>
      </c>
      <c r="F6" t="n">
        <v>6</v>
      </c>
      <c r="G6" t="n">
        <v>0</v>
      </c>
      <c r="H6" t="inlineStr">
        <is>
          <t>self</t>
        </is>
      </c>
      <c r="I6" t="inlineStr">
        <is>
          <t>HP và hiệu quả chính xác tăng {0}% . Khi chịu tấn côn đơn thế. Phòng thủ tăng {1}%, tối đa cộng dồn 6 tầng.</t>
        </is>
      </c>
    </row>
    <row r="7">
      <c r="A7" t="inlineStr">
        <is>
          <t>psv_nimbus_cloud</t>
        </is>
      </c>
      <c r="B7" t="inlineStr">
        <is>
          <t>OnAfterTakeDamage</t>
        </is>
      </c>
      <c r="C7" t="inlineStr">
        <is>
          <t>Eff_Action_Point_Boost</t>
        </is>
      </c>
      <c r="D7" t="inlineStr">
        <is>
          <t>10.0, 15.0, 20.0, 25.0, 30.0, 40.0</t>
        </is>
      </c>
      <c r="E7" t="inlineStr">
        <is>
          <t>AoEAttack</t>
        </is>
      </c>
      <c r="F7" t="n">
        <v>0</v>
      </c>
      <c r="G7" t="n">
        <v>0</v>
      </c>
      <c r="H7" t="inlineStr">
        <is>
          <t>self</t>
        </is>
      </c>
      <c r="I7" t="inlineStr">
        <is>
          <t>Khi bị tấn công phạm vi, điểm hành động của bản thân tăng {0)%.</t>
        </is>
      </c>
    </row>
    <row r="8">
      <c r="A8" t="inlineStr">
        <is>
          <t>psv_reincarnation</t>
        </is>
      </c>
      <c r="B8" t="inlineStr">
        <is>
          <t>OnAfterTakeDamage</t>
        </is>
      </c>
      <c r="C8" t="inlineStr">
        <is>
          <t>Eff_Lacerate_Debuff</t>
        </is>
      </c>
      <c r="D8" t="inlineStr">
        <is>
          <t>30.0, 40.0, 50.0, 60.0, 70.0, 80.0</t>
        </is>
      </c>
      <c r="E8" t="inlineStr">
        <is>
          <t>SingleTarget</t>
        </is>
      </c>
      <c r="F8" t="n">
        <v>2</v>
      </c>
      <c r="H8" t="inlineStr">
        <is>
          <t>enemy</t>
        </is>
      </c>
      <c r="I8" t="inlineStr">
        <is>
          <t>Tấn công tăng {0}%. Khi tấn công đơn, có {1}% xác xuất gây Xé Toạc cho mục tiêu tân công, duy trì 2 hiệp.</t>
        </is>
      </c>
    </row>
    <row r="9">
      <c r="A9" t="inlineStr">
        <is>
          <t>psv_moonlit_firefly</t>
        </is>
      </c>
      <c r="B9" t="inlineStr">
        <is>
          <t>OnAfterSkillExecute</t>
        </is>
      </c>
      <c r="C9" t="inlineStr">
        <is>
          <t>Eff_Reduce_Cooldown</t>
        </is>
      </c>
      <c r="D9" t="inlineStr">
        <is>
          <t>30.0, 40.0, 50.0, 60.0, 70.0, 80.0</t>
        </is>
      </c>
      <c r="E9" t="inlineStr">
        <is>
          <t>NonAttackSkill</t>
        </is>
      </c>
      <c r="F9" t="n">
        <v>1</v>
      </c>
      <c r="G9" t="n">
        <v>0</v>
      </c>
      <c r="H9" t="inlineStr">
        <is>
          <t>self</t>
        </is>
      </c>
      <c r="I9" t="inlineStr">
        <is>
          <t>Tấn công và phòng thủ tăng {0}%. Sau khi thi triển kỹ năng không phải tấn công, có {1}% xác suất hiệp hồi chiêu -1.</t>
        </is>
      </c>
    </row>
    <row r="10">
      <c r="A10" t="inlineStr">
        <is>
          <t>psv_plantain_fan</t>
        </is>
      </c>
      <c r="B10" t="inlineStr">
        <is>
          <t>OnAfterSkillExecute</t>
        </is>
      </c>
      <c r="C10" t="inlineStr">
        <is>
          <t>Eff_Apply_Mark_Debuff</t>
        </is>
      </c>
      <c r="D10" t="inlineStr">
        <is>
          <t>40.0, 50.0, 60.0, 70.0, 80.0, 90.0</t>
        </is>
      </c>
      <c r="E10" t="inlineStr">
        <is>
          <t>SingleTarget</t>
        </is>
      </c>
      <c r="F10" t="n">
        <v>1</v>
      </c>
      <c r="G10" t="n">
        <v>0</v>
      </c>
      <c r="H10" t="inlineStr">
        <is>
          <t>enemy</t>
        </is>
      </c>
      <c r="I10" t="inlineStr">
        <is>
          <t>Tăng {0}% Hiệu quả Chính Xác.Các đòn tấn công đơn mục tiêu có {1}% cơ hội gây hiệu ứng Đánh Dấu lên mục tiêu trong 1 lượt.</t>
        </is>
      </c>
    </row>
    <row r="11">
      <c r="A11" t="inlineStr">
        <is>
          <t>psv_wings_of_phoenix</t>
        </is>
      </c>
      <c r="B11" t="inlineStr">
        <is>
          <t>OnAfterSkillExcute</t>
        </is>
      </c>
      <c r="C11" t="inlineStr">
        <is>
          <t>Eff_Dispel_Self_Debuff</t>
        </is>
      </c>
      <c r="D11" t="inlineStr">
        <is>
          <t>40.0, 50.0, 60.0, 70.0, 80.0, 90.0</t>
        </is>
      </c>
      <c r="E11" t="inlineStr">
        <is>
          <t>HasDebuff</t>
        </is>
      </c>
      <c r="F11" t="n">
        <v>2</v>
      </c>
      <c r="G11" t="n">
        <v>2</v>
      </c>
      <c r="H11" t="inlineStr">
        <is>
          <t>self</t>
        </is>
      </c>
      <c r="I11" t="inlineStr">
        <is>
          <t>Kháng hiệu ứng tăng {0}%. Sau khi bị kĩ năng tấn công, nếu bản thân tồn tại hiệu ứng suy yếu, có {1}% xác xuất xóa 2 hiệu ứng suy yếu cảu bản thân, cứ 2 hiệp kích hoạt tối đa 1 lần.</t>
        </is>
      </c>
    </row>
    <row r="12">
      <c r="A12" t="inlineStr">
        <is>
          <t>psv_sunburst_spade</t>
        </is>
      </c>
      <c r="B12" t="inlineStr">
        <is>
          <t>OnBeforeDealDamage</t>
        </is>
      </c>
      <c r="C12" t="inlineStr">
        <is>
          <t xml:space="preserve">Eff_IncreaseAttack </t>
        </is>
      </c>
      <c r="D12" t="inlineStr">
        <is>
          <t>10.0, 15.0, 20.0, 25.0, 30.0, 40.0</t>
        </is>
      </c>
      <c r="E12" t="inlineStr">
        <is>
          <t>SingleTarget</t>
        </is>
      </c>
      <c r="F12" t="n">
        <v>0</v>
      </c>
      <c r="G12" t="n">
        <v>0</v>
      </c>
      <c r="H12" t="inlineStr">
        <is>
          <t>self</t>
        </is>
      </c>
      <c r="I12" t="inlineStr">
        <is>
          <t>ST tấn công đơn tăng {0}%.</t>
        </is>
      </c>
    </row>
    <row r="13">
      <c r="A13" t="inlineStr">
        <is>
          <t>psv_sunwukong_major</t>
        </is>
      </c>
      <c r="B13" t="inlineStr">
        <is>
          <t>OnAfterDealDamage</t>
        </is>
      </c>
      <c r="C13" t="inlineStr">
        <is>
          <t>Eff_Lifesteal</t>
        </is>
      </c>
      <c r="D13" t="inlineStr">
        <is>
          <t>20, 25, 30, 30, 30, 30</t>
        </is>
      </c>
      <c r="E13" t="inlineStr">
        <is>
          <t>MajorSkill</t>
        </is>
      </c>
      <c r="F13" t="n">
        <v>0</v>
      </c>
      <c r="G13" t="n">
        <v>0</v>
      </c>
      <c r="H13" t="inlineStr">
        <is>
          <t>self</t>
        </is>
      </c>
      <c r="I13" t="inlineStr">
        <is>
          <t>Kỹ năng Major hút máu 25%</t>
        </is>
      </c>
    </row>
    <row r="14">
      <c r="A14" t="inlineStr">
        <is>
          <t>psv_erlangshen_major</t>
        </is>
      </c>
      <c r="B14" t="inlineStr">
        <is>
          <t>OnBeforeDealDamage</t>
        </is>
      </c>
      <c r="C14" t="inlineStr">
        <is>
          <t>Eff_IncreaseCritDmg</t>
        </is>
      </c>
      <c r="D14" t="inlineStr">
        <is>
          <t>60, 80, 100, 100, 100, 100</t>
        </is>
      </c>
      <c r="E14" t="inlineStr">
        <is>
          <t>MajorSkill</t>
        </is>
      </c>
      <c r="F14" t="n">
        <v>0</v>
      </c>
      <c r="G14" t="n">
        <v>0</v>
      </c>
      <c r="H14" t="inlineStr">
        <is>
          <t>self</t>
        </is>
      </c>
      <c r="I14" t="inlineStr">
        <is>
          <t>Kỹ năng Major tăng 100% Crit DMG</t>
        </is>
      </c>
    </row>
    <row r="15">
      <c r="A15" t="inlineStr">
        <is>
          <t>psv_lijing_base</t>
        </is>
      </c>
      <c r="B15" t="inlineStr">
        <is>
          <t>OnAfterDealDamage</t>
        </is>
      </c>
      <c r="C15" t="inlineStr">
        <is>
          <t>Eff_AddShield</t>
        </is>
      </c>
      <c r="D15" t="inlineStr">
        <is>
          <t>5, 5, 5, 5, 5, 5</t>
        </is>
      </c>
      <c r="E15" t="inlineStr">
        <is>
          <t>BasicAttack</t>
        </is>
      </c>
      <c r="F15" t="n">
        <v>5</v>
      </c>
      <c r="G15" t="n">
        <v>0</v>
      </c>
      <c r="H15" t="inlineStr">
        <is>
          <t>self</t>
        </is>
      </c>
      <c r="I15" t="inlineStr">
        <is>
          <t>Đánh thường nhận khiên 5% Max HP (max 5 tầng)</t>
        </is>
      </c>
    </row>
    <row r="16">
      <c r="A16" t="inlineStr">
        <is>
          <t>psv_lijing_ultimate</t>
        </is>
      </c>
      <c r="B16" t="inlineStr">
        <is>
          <t>OnBeforeDealDamage</t>
        </is>
      </c>
      <c r="C16" t="inlineStr">
        <is>
          <t>Eff_HPScalingDamage</t>
        </is>
      </c>
      <c r="D16" t="inlineStr">
        <is>
          <t>30, 30, 30, 30, 30, 30</t>
        </is>
      </c>
      <c r="E16" t="inlineStr">
        <is>
          <t>UltimateSkill</t>
        </is>
      </c>
      <c r="F16" t="n">
        <v>0</v>
      </c>
      <c r="G16" t="n">
        <v>0</v>
      </c>
      <c r="H16" t="inlineStr">
        <is>
          <t>self</t>
        </is>
      </c>
      <c r="I16" t="inlineStr">
        <is>
          <t>Tuyệt kỹ nộ tăng 30% Max HP vào Base Damage</t>
        </is>
      </c>
    </row>
    <row r="17">
      <c r="A17" t="inlineStr">
        <is>
          <t>psv_erlangshen_ultimate</t>
        </is>
      </c>
      <c r="B17" t="inlineStr">
        <is>
          <t>OnBeforeDealDamage</t>
        </is>
      </c>
      <c r="C17" t="inlineStr">
        <is>
          <t>Eff_ArmorPenetration</t>
        </is>
      </c>
      <c r="D17" t="inlineStr">
        <is>
          <t>30, 30, 30, 30, 30, 30</t>
        </is>
      </c>
      <c r="E17" t="inlineStr">
        <is>
          <t>UltimateSkill</t>
        </is>
      </c>
      <c r="F17" t="n">
        <v>0</v>
      </c>
      <c r="G17" t="n">
        <v>0</v>
      </c>
      <c r="H17" t="inlineStr">
        <is>
          <t>self</t>
        </is>
      </c>
      <c r="I17" t="inlineStr">
        <is>
          <t>Tuyệt kỹ tăng 30% Xuyên Giáp</t>
        </is>
      </c>
    </row>
    <row r="18">
      <c r="A18" t="inlineStr">
        <is>
          <t>psv_sunwukong_ultiamte</t>
        </is>
      </c>
      <c r="B18" t="inlineStr">
        <is>
          <t>OnAfterDealDamage</t>
        </is>
      </c>
      <c r="C18" t="inlineStr">
        <is>
          <t>Eff_ReduceDefense</t>
        </is>
      </c>
      <c r="D18" t="inlineStr">
        <is>
          <t>15, 20, 25, 25, 25, 25</t>
        </is>
      </c>
      <c r="E18" t="inlineStr">
        <is>
          <t>UltimateSkill</t>
        </is>
      </c>
      <c r="F18" t="n">
        <v>0</v>
      </c>
      <c r="G18" t="n">
        <v>0</v>
      </c>
      <c r="H18" t="inlineStr">
        <is>
          <t>enemy</t>
        </is>
      </c>
      <c r="I18" t="inlineStr">
        <is>
          <t>Tuyệt kỹ giảm 25% DEF mục tiêu</t>
        </is>
      </c>
    </row>
    <row r="19">
      <c r="A19" t="inlineStr">
        <is>
          <t>psv_bulldemonking_counter</t>
        </is>
      </c>
      <c r="B19" t="inlineStr">
        <is>
          <t>OnTakeDamage</t>
        </is>
      </c>
      <c r="C19" t="inlineStr">
        <is>
          <t>Eff_CounterAttack</t>
        </is>
      </c>
      <c r="D19" t="inlineStr">
        <is>
          <t>50, 75, 100, 100, 100, 100</t>
        </is>
      </c>
      <c r="E19" t="inlineStr">
        <is>
          <t>BasicAttack</t>
        </is>
      </c>
      <c r="F19" t="n">
        <v>100</v>
      </c>
      <c r="G19" t="n">
        <v>0</v>
      </c>
      <c r="H19" t="inlineStr">
        <is>
          <t>enemy</t>
        </is>
      </c>
      <c r="I19" t="inlineStr">
        <is>
          <t>Có 50%, 75%, 100% cơ hội phản kích khi bị đánh thường, gây 100% ATK</t>
        </is>
      </c>
    </row>
    <row r="20">
      <c r="A20" t="inlineStr">
        <is>
          <t>psv_ferrous_chaos</t>
        </is>
      </c>
      <c r="B20" t="inlineStr">
        <is>
          <t>OnBeforeDealDamage</t>
        </is>
      </c>
      <c r="C20" t="inlineStr">
        <is>
          <t>Eff_IncreaseAttack</t>
        </is>
      </c>
      <c r="D20" t="inlineStr">
        <is>
          <t>16, 16, 16, 16, 16, 16</t>
        </is>
      </c>
      <c r="E20" t="inlineStr">
        <is>
          <t>IsSkill, HP_Above_50</t>
        </is>
      </c>
      <c r="F20" t="n">
        <v>0</v>
      </c>
      <c r="G20" t="n">
        <v>0</v>
      </c>
      <c r="H20" t="inlineStr">
        <is>
          <t>self</t>
        </is>
      </c>
      <c r="I20" t="inlineStr">
        <is>
          <t>Trạng thái Áp Đảo (HP &gt; 50%) tăng 16% Sát thương Kỹ năng</t>
        </is>
      </c>
    </row>
    <row r="21">
      <c r="A21" t="inlineStr">
        <is>
          <t>psv_ferrous_chaos</t>
        </is>
      </c>
      <c r="B21" t="inlineStr">
        <is>
          <t>OnAfterDealDamage</t>
        </is>
      </c>
      <c r="C21" t="inlineStr">
        <is>
          <t>Eff_Lifesteal</t>
        </is>
      </c>
      <c r="D21" t="inlineStr">
        <is>
          <t>16, 16, 16, 16, 16, 16</t>
        </is>
      </c>
      <c r="E21" t="inlineStr">
        <is>
          <t>HP_BelowOrEqual_50</t>
        </is>
      </c>
      <c r="F21" t="n">
        <v>0</v>
      </c>
      <c r="G21" t="n">
        <v>0</v>
      </c>
      <c r="H21" t="inlineStr">
        <is>
          <t>self</t>
        </is>
      </c>
      <c r="I21" t="inlineStr">
        <is>
          <t>Trạng thái Huyết Chiến (HP ≤ 50%) nhận 16% Hút Máu</t>
        </is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zoomScale="130" zoomScaleNormal="130" workbookViewId="0">
      <selection activeCell="E15" sqref="E15"/>
    </sheetView>
  </sheetViews>
  <sheetFormatPr baseColWidth="8" defaultRowHeight="15"/>
  <cols>
    <col width="21.140625" customWidth="1" style="35" min="1" max="1"/>
    <col width="21.140625" bestFit="1" customWidth="1" style="35" min="2" max="2"/>
    <col width="19" bestFit="1" customWidth="1" style="35" min="3" max="3"/>
    <col width="16.5703125" customWidth="1" style="35" min="4" max="4"/>
    <col width="16.5703125" customWidth="1" style="36" min="5" max="6"/>
    <col width="15.7109375" customWidth="1" style="36" min="7" max="7"/>
    <col width="14.5703125" customWidth="1" style="36" min="8" max="8"/>
    <col width="18.28515625" customWidth="1" style="36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TargetStat</t>
        </is>
      </c>
      <c r="F1" s="16" t="inlineStr">
        <is>
          <t>ModifyType</t>
        </is>
      </c>
      <c r="G1" s="16" t="inlineStr">
        <is>
          <t>Duration</t>
        </is>
      </c>
      <c r="H1" s="16" t="inlineStr">
        <is>
          <t>Value</t>
        </is>
      </c>
      <c r="I1" s="16" t="inlineStr">
        <is>
          <t>MaxStack</t>
        </is>
      </c>
    </row>
    <row r="2">
      <c r="A2" t="inlineStr">
        <is>
          <t>EFF_Posion_def</t>
        </is>
      </c>
      <c r="B2" t="inlineStr">
        <is>
          <t>EFF_POSION_NAME</t>
        </is>
      </c>
      <c r="C2" t="inlineStr">
        <is>
          <t>EFF_POSION_DES</t>
        </is>
      </c>
      <c r="D2" s="36" t="inlineStr">
        <is>
          <t>Poison</t>
        </is>
      </c>
      <c r="E2" s="36" t="inlineStr">
        <is>
          <t>None</t>
        </is>
      </c>
      <c r="F2" s="36" t="inlineStr">
        <is>
          <t>None</t>
        </is>
      </c>
      <c r="G2" s="36" t="n">
        <v>3</v>
      </c>
      <c r="H2" s="36" t="n">
        <v>5</v>
      </c>
      <c r="I2" s="36" t="n">
        <v>1</v>
      </c>
    </row>
    <row r="3">
      <c r="A3" t="inlineStr">
        <is>
          <t>EFF_Stun_def</t>
        </is>
      </c>
      <c r="B3" t="inlineStr">
        <is>
          <t>DEBUFF_STUN_NAME</t>
        </is>
      </c>
      <c r="C3" t="inlineStr">
        <is>
          <t>DEBUFF_STUN_DES</t>
        </is>
      </c>
      <c r="D3" s="36" t="inlineStr">
        <is>
          <t>Stun</t>
        </is>
      </c>
      <c r="E3" s="36" t="inlineStr">
        <is>
          <t>None</t>
        </is>
      </c>
      <c r="F3" s="36" t="inlineStr">
        <is>
          <t>None</t>
        </is>
      </c>
      <c r="G3" s="36" t="n">
        <v>1</v>
      </c>
      <c r="H3" s="36" t="n">
        <v>100</v>
      </c>
      <c r="I3" s="36" t="n">
        <v>1</v>
      </c>
    </row>
    <row r="4">
      <c r="A4" t="inlineStr">
        <is>
          <t>EFF_BufATK_def</t>
        </is>
      </c>
      <c r="B4" t="inlineStr">
        <is>
          <t>BUFF_ATTACK_NAME</t>
        </is>
      </c>
      <c r="C4" t="inlineStr">
        <is>
          <t>BUFF_ATTACK_DES</t>
        </is>
      </c>
      <c r="D4" s="36" t="inlineStr">
        <is>
          <t>StatBuff</t>
        </is>
      </c>
      <c r="E4" s="36" t="inlineStr">
        <is>
          <t>ATK</t>
        </is>
      </c>
      <c r="F4" s="36" t="inlineStr">
        <is>
          <t>Flat</t>
        </is>
      </c>
      <c r="G4" s="36" t="n">
        <v>3</v>
      </c>
      <c r="H4" s="36" t="n">
        <v>600</v>
      </c>
      <c r="I4" s="36" t="n">
        <v>1</v>
      </c>
    </row>
    <row r="5">
      <c r="A5" t="inlineStr">
        <is>
          <t>EFF_BufDEF_def</t>
        </is>
      </c>
      <c r="B5" t="inlineStr">
        <is>
          <t>BUFF_DEF_NAME</t>
        </is>
      </c>
      <c r="C5" t="inlineStr">
        <is>
          <t>BUFF_DEF_DES</t>
        </is>
      </c>
      <c r="D5" s="36" t="inlineStr">
        <is>
          <t>StatBuff</t>
        </is>
      </c>
      <c r="E5" s="36" t="inlineStr">
        <is>
          <t>DEF</t>
        </is>
      </c>
      <c r="F5" s="36" t="inlineStr">
        <is>
          <t>Flat</t>
        </is>
      </c>
      <c r="G5" s="36" t="n">
        <v>2</v>
      </c>
      <c r="H5" s="36" t="n">
        <v>200</v>
      </c>
      <c r="I5" s="36" t="n">
        <v>1</v>
      </c>
    </row>
    <row r="6">
      <c r="A6" t="inlineStr">
        <is>
          <t>EFF_BufSpd_def</t>
        </is>
      </c>
      <c r="B6" t="inlineStr">
        <is>
          <t>BUFF_SPEED_NAME</t>
        </is>
      </c>
      <c r="C6" t="inlineStr">
        <is>
          <t>BUFF_SPEED_DES</t>
        </is>
      </c>
      <c r="D6" s="36" t="inlineStr">
        <is>
          <t>StatBuff</t>
        </is>
      </c>
      <c r="E6" s="36" t="inlineStr">
        <is>
          <t>SPEED</t>
        </is>
      </c>
      <c r="F6" s="36" t="inlineStr">
        <is>
          <t>Percent</t>
        </is>
      </c>
      <c r="G6" s="36" t="n">
        <v>2</v>
      </c>
      <c r="H6" s="36" t="n">
        <v>20</v>
      </c>
      <c r="I6" s="36" t="n">
        <v>1</v>
      </c>
    </row>
    <row r="7">
      <c r="A7" t="inlineStr">
        <is>
          <t>EFF_DefSpd_def</t>
        </is>
      </c>
      <c r="B7" t="inlineStr">
        <is>
          <t>DEBUFF_SPEED_NAME</t>
        </is>
      </c>
      <c r="C7" t="inlineStr">
        <is>
          <t>DEBUFF_SPEED_DES</t>
        </is>
      </c>
      <c r="D7" s="36" t="inlineStr">
        <is>
          <t>StatDebuff</t>
        </is>
      </c>
      <c r="E7" s="36" t="inlineStr">
        <is>
          <t>SPEED</t>
        </is>
      </c>
      <c r="F7" s="36" t="inlineStr">
        <is>
          <t>Percent</t>
        </is>
      </c>
      <c r="G7" s="36" t="n">
        <v>2</v>
      </c>
      <c r="H7" s="36" t="n">
        <v>-20</v>
      </c>
      <c r="I7" s="36" t="n">
        <v>1</v>
      </c>
    </row>
    <row r="8">
      <c r="A8" t="inlineStr">
        <is>
          <t>EFF_ResetDef</t>
        </is>
      </c>
      <c r="B8" t="inlineStr">
        <is>
          <t>RESIST_DEBUFF_NAME</t>
        </is>
      </c>
      <c r="C8" t="inlineStr">
        <is>
          <t>RESIST_DEBUFF_DES</t>
        </is>
      </c>
      <c r="D8" s="36" t="inlineStr">
        <is>
          <t>ResetDebuff</t>
        </is>
      </c>
      <c r="E8" s="36" t="inlineStr">
        <is>
          <t>None</t>
        </is>
      </c>
      <c r="F8" s="36" t="inlineStr">
        <is>
          <t>None</t>
        </is>
      </c>
      <c r="G8" s="36" t="n">
        <v>1</v>
      </c>
      <c r="H8" s="36" t="n">
        <v>0</v>
      </c>
      <c r="I8" s="36" t="n">
        <v>1</v>
      </c>
    </row>
    <row r="9">
      <c r="A9" t="inlineStr">
        <is>
          <t>EFF_Frozen_def</t>
        </is>
      </c>
      <c r="B9" t="inlineStr">
        <is>
          <t>DEBUFF_FRONZEN_NAME</t>
        </is>
      </c>
      <c r="C9" t="inlineStr">
        <is>
          <t>DEBUFF_FRONZEN_DES</t>
        </is>
      </c>
      <c r="D9" s="36" t="inlineStr">
        <is>
          <t>Frozen</t>
        </is>
      </c>
      <c r="E9" s="36" t="inlineStr">
        <is>
          <t>None</t>
        </is>
      </c>
      <c r="F9" s="36" t="inlineStr">
        <is>
          <t>None</t>
        </is>
      </c>
      <c r="G9" s="36" t="n">
        <v>2</v>
      </c>
      <c r="H9" s="36" t="n">
        <v>100</v>
      </c>
      <c r="I9" s="36" t="n">
        <v>1</v>
      </c>
    </row>
    <row r="10">
      <c r="A10" t="inlineStr">
        <is>
          <t>EFF_Bull_Buff_ATK</t>
        </is>
      </c>
      <c r="B10" t="inlineStr">
        <is>
          <t>BUFF_ATTACK_NAME</t>
        </is>
      </c>
      <c r="C10" t="inlineStr">
        <is>
          <t>BUFF_ATTACK_DES</t>
        </is>
      </c>
      <c r="D10" s="36" t="inlineStr">
        <is>
          <t>StatBuff</t>
        </is>
      </c>
      <c r="E10" s="36" t="inlineStr">
        <is>
          <t>ATK</t>
        </is>
      </c>
      <c r="F10" s="36" t="inlineStr">
        <is>
          <t>Percent</t>
        </is>
      </c>
      <c r="G10" s="36" t="n">
        <v>3</v>
      </c>
      <c r="H10" s="36" t="n">
        <v>30</v>
      </c>
      <c r="I10" s="36" t="n">
        <v>1</v>
      </c>
    </row>
    <row r="11">
      <c r="A11" t="inlineStr">
        <is>
          <t>EFF_Bull_Poison</t>
        </is>
      </c>
      <c r="B11" t="inlineStr">
        <is>
          <t>EFF_POSION_NAME</t>
        </is>
      </c>
      <c r="C11" t="inlineStr">
        <is>
          <t>EFF_POSION_DES</t>
        </is>
      </c>
      <c r="D11" s="36" t="inlineStr">
        <is>
          <t>Poison</t>
        </is>
      </c>
      <c r="E11" s="36" t="inlineStr">
        <is>
          <t>None</t>
        </is>
      </c>
      <c r="F11" s="36" t="inlineStr">
        <is>
          <t>Percent</t>
        </is>
      </c>
      <c r="G11" s="36" t="n">
        <v>3</v>
      </c>
      <c r="H11" s="36" t="n">
        <v>8</v>
      </c>
      <c r="I11" s="36" t="n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J23" sqref="J23"/>
    </sheetView>
  </sheetViews>
  <sheetFormatPr baseColWidth="8" defaultRowHeight="15"/>
  <cols>
    <col width="19.42578125" bestFit="1" customWidth="1" style="35" min="1" max="1"/>
    <col width="10.5703125" bestFit="1" customWidth="1" style="35" min="2" max="2"/>
    <col width="9.42578125" bestFit="1" customWidth="1" style="35" min="3" max="3"/>
    <col width="11.140625" bestFit="1" customWidth="1" style="35" min="4" max="4"/>
    <col width="17.85546875" customWidth="1" style="35" min="5" max="5"/>
    <col width="14.85546875" bestFit="1" customWidth="1" style="35" min="6" max="6"/>
    <col width="14.85546875" customWidth="1" style="35" min="7" max="7"/>
    <col width="15.28515625" customWidth="1" style="35" min="8" max="8"/>
    <col width="73.28515625" customWidth="1" style="35" min="10" max="10"/>
  </cols>
  <sheetData>
    <row r="1">
      <c r="A1" s="1" t="inlineStr">
        <is>
          <t>ID</t>
        </is>
      </c>
      <c r="B1" s="16" t="inlineStr">
        <is>
          <t>Part</t>
        </is>
      </c>
      <c r="C1" s="16" t="inlineStr">
        <is>
          <t>SetArmor</t>
        </is>
      </c>
      <c r="D1" s="16" t="inlineStr">
        <is>
          <t>Rare</t>
        </is>
      </c>
      <c r="E1" s="16" t="inlineStr">
        <is>
          <t>main_stat_type</t>
        </is>
      </c>
      <c r="F1" s="16" t="inlineStr">
        <is>
          <t>main_stat_valuie</t>
        </is>
      </c>
      <c r="G1" s="16" t="inlineStr">
        <is>
          <t>modifier_type</t>
        </is>
      </c>
      <c r="H1" s="16" t="inlineStr">
        <is>
          <t>substat_pool_id</t>
        </is>
      </c>
    </row>
    <row r="2">
      <c r="A2" s="15" t="inlineStr">
        <is>
          <t>Armor01_Helmet</t>
        </is>
      </c>
      <c r="B2" s="37" t="inlineStr">
        <is>
          <t>Helmet</t>
        </is>
      </c>
      <c r="C2" s="37" t="inlineStr">
        <is>
          <t>Armor01</t>
        </is>
      </c>
      <c r="D2" s="2" t="inlineStr">
        <is>
          <t>Legendary</t>
        </is>
      </c>
      <c r="E2" s="36" t="inlineStr">
        <is>
          <t>hp</t>
        </is>
      </c>
      <c r="F2" s="37" t="n">
        <v>500</v>
      </c>
      <c r="G2" s="37" t="inlineStr">
        <is>
          <t>Flat</t>
        </is>
      </c>
      <c r="H2" t="inlineStr">
        <is>
          <t>Warrior_Pool</t>
        </is>
      </c>
    </row>
    <row r="3">
      <c r="A3" s="15" t="inlineStr">
        <is>
          <t>Armor02_Helmet</t>
        </is>
      </c>
      <c r="B3" s="37" t="inlineStr">
        <is>
          <t>Helmet</t>
        </is>
      </c>
      <c r="C3" s="37" t="inlineStr">
        <is>
          <t>Armor02</t>
        </is>
      </c>
      <c r="D3" s="3" t="inlineStr">
        <is>
          <t>Rare</t>
        </is>
      </c>
      <c r="E3" s="36" t="inlineStr">
        <is>
          <t>hp</t>
        </is>
      </c>
      <c r="F3" s="37" t="n">
        <v>500</v>
      </c>
      <c r="G3" s="37" t="inlineStr">
        <is>
          <t>Flat</t>
        </is>
      </c>
      <c r="H3" t="inlineStr">
        <is>
          <t>Warrior_Pool</t>
        </is>
      </c>
    </row>
    <row r="4">
      <c r="A4" s="15" t="inlineStr">
        <is>
          <t>Armor03_Helmet</t>
        </is>
      </c>
      <c r="B4" s="37" t="inlineStr">
        <is>
          <t>Helmet</t>
        </is>
      </c>
      <c r="C4" s="37" t="inlineStr">
        <is>
          <t>Armor03</t>
        </is>
      </c>
      <c r="D4" s="6" t="inlineStr">
        <is>
          <t>Uncommon</t>
        </is>
      </c>
      <c r="E4" s="36" t="inlineStr">
        <is>
          <t>hp</t>
        </is>
      </c>
      <c r="F4" s="37" t="n">
        <v>500</v>
      </c>
      <c r="G4" s="37" t="inlineStr">
        <is>
          <t>Flat</t>
        </is>
      </c>
      <c r="H4" t="inlineStr">
        <is>
          <t>Warrior_Pool</t>
        </is>
      </c>
    </row>
    <row r="5">
      <c r="A5" s="15" t="inlineStr">
        <is>
          <t>Armor04_Helmet</t>
        </is>
      </c>
      <c r="B5" s="37" t="inlineStr">
        <is>
          <t>Helmet</t>
        </is>
      </c>
      <c r="C5" s="37" t="inlineStr">
        <is>
          <t>Armor04</t>
        </is>
      </c>
      <c r="D5" s="14" t="inlineStr">
        <is>
          <t>Epic</t>
        </is>
      </c>
      <c r="E5" s="36" t="inlineStr">
        <is>
          <t>hp</t>
        </is>
      </c>
      <c r="F5" s="37" t="n">
        <v>500</v>
      </c>
      <c r="G5" s="37" t="inlineStr">
        <is>
          <t>Flat</t>
        </is>
      </c>
      <c r="H5" t="inlineStr">
        <is>
          <t>Warrior_Pool</t>
        </is>
      </c>
    </row>
    <row r="6">
      <c r="A6" s="15" t="inlineStr">
        <is>
          <t>Armor05_Helmet</t>
        </is>
      </c>
      <c r="B6" s="37" t="inlineStr">
        <is>
          <t>Helmet</t>
        </is>
      </c>
      <c r="C6" s="37" t="inlineStr">
        <is>
          <t>Armor05</t>
        </is>
      </c>
      <c r="D6" s="12" t="inlineStr">
        <is>
          <t>Common</t>
        </is>
      </c>
      <c r="E6" s="36" t="inlineStr">
        <is>
          <t>hp</t>
        </is>
      </c>
      <c r="F6" s="37" t="n">
        <v>500</v>
      </c>
      <c r="G6" s="37" t="inlineStr">
        <is>
          <t>Flat</t>
        </is>
      </c>
      <c r="H6" t="inlineStr">
        <is>
          <t>Warrior_Pool</t>
        </is>
      </c>
    </row>
    <row r="7">
      <c r="A7" s="15" t="inlineStr">
        <is>
          <t>Armor06_Helmet</t>
        </is>
      </c>
      <c r="B7" s="37" t="inlineStr">
        <is>
          <t>Helmet</t>
        </is>
      </c>
      <c r="C7" s="37" t="inlineStr">
        <is>
          <t>Armor06</t>
        </is>
      </c>
      <c r="D7" s="14" t="inlineStr">
        <is>
          <t>Epic</t>
        </is>
      </c>
      <c r="E7" s="36" t="inlineStr">
        <is>
          <t>hp</t>
        </is>
      </c>
      <c r="F7" s="37" t="n">
        <v>500</v>
      </c>
      <c r="G7" s="37" t="inlineStr">
        <is>
          <t>Flat</t>
        </is>
      </c>
      <c r="H7" t="inlineStr">
        <is>
          <t>Warrior_Pool</t>
        </is>
      </c>
    </row>
    <row r="8">
      <c r="A8" s="15" t="inlineStr">
        <is>
          <t>Armor01_Chestplate</t>
        </is>
      </c>
      <c r="B8" s="37" t="inlineStr">
        <is>
          <t>Chestplate</t>
        </is>
      </c>
      <c r="C8" s="37" t="inlineStr">
        <is>
          <t>Armor01</t>
        </is>
      </c>
      <c r="D8" s="2" t="inlineStr">
        <is>
          <t>Legendary</t>
        </is>
      </c>
      <c r="E8" s="36" t="inlineStr">
        <is>
          <t>def</t>
        </is>
      </c>
      <c r="F8" s="37" t="n">
        <v>40</v>
      </c>
      <c r="G8" s="37" t="inlineStr">
        <is>
          <t>Flat</t>
        </is>
      </c>
      <c r="H8" t="inlineStr">
        <is>
          <t>Warrior_Pool</t>
        </is>
      </c>
    </row>
    <row r="9">
      <c r="A9" s="15" t="inlineStr">
        <is>
          <t>Armor02_Chestplate</t>
        </is>
      </c>
      <c r="B9" s="37" t="inlineStr">
        <is>
          <t>Chestplate</t>
        </is>
      </c>
      <c r="C9" s="37" t="inlineStr">
        <is>
          <t>Armor02</t>
        </is>
      </c>
      <c r="D9" s="3" t="inlineStr">
        <is>
          <t>Rare</t>
        </is>
      </c>
      <c r="E9" s="36" t="inlineStr">
        <is>
          <t>def</t>
        </is>
      </c>
      <c r="F9" s="37" t="n">
        <v>40</v>
      </c>
      <c r="G9" s="37" t="inlineStr">
        <is>
          <t>Flat</t>
        </is>
      </c>
      <c r="H9" t="inlineStr">
        <is>
          <t>Warrior_Pool</t>
        </is>
      </c>
    </row>
    <row r="10">
      <c r="A10" s="15" t="inlineStr">
        <is>
          <t>Armor03_Chestplate</t>
        </is>
      </c>
      <c r="B10" s="37" t="inlineStr">
        <is>
          <t>Chestplate</t>
        </is>
      </c>
      <c r="C10" s="37" t="inlineStr">
        <is>
          <t>Armor03</t>
        </is>
      </c>
      <c r="D10" s="6" t="inlineStr">
        <is>
          <t>Uncommon</t>
        </is>
      </c>
      <c r="E10" s="36" t="inlineStr">
        <is>
          <t>def</t>
        </is>
      </c>
      <c r="F10" s="37" t="n">
        <v>40</v>
      </c>
      <c r="G10" s="37" t="inlineStr">
        <is>
          <t>Flat</t>
        </is>
      </c>
      <c r="H10" t="inlineStr">
        <is>
          <t>Warrior_Pool</t>
        </is>
      </c>
    </row>
    <row r="11">
      <c r="A11" s="15" t="inlineStr">
        <is>
          <t>Armor04_Chestplate</t>
        </is>
      </c>
      <c r="B11" s="37" t="inlineStr">
        <is>
          <t>Chestplate</t>
        </is>
      </c>
      <c r="C11" s="37" t="inlineStr">
        <is>
          <t>Armor04</t>
        </is>
      </c>
      <c r="D11" s="14" t="inlineStr">
        <is>
          <t>Epic</t>
        </is>
      </c>
      <c r="E11" s="36" t="inlineStr">
        <is>
          <t>def</t>
        </is>
      </c>
      <c r="F11" s="37" t="n">
        <v>40</v>
      </c>
      <c r="G11" s="37" t="inlineStr">
        <is>
          <t>Flat</t>
        </is>
      </c>
      <c r="H11" t="inlineStr">
        <is>
          <t>Warrior_Pool</t>
        </is>
      </c>
    </row>
    <row r="12">
      <c r="A12" s="15" t="inlineStr">
        <is>
          <t>Armor05_Chestplate</t>
        </is>
      </c>
      <c r="B12" s="37" t="inlineStr">
        <is>
          <t>Chestplate</t>
        </is>
      </c>
      <c r="C12" s="37" t="inlineStr">
        <is>
          <t>Armor05</t>
        </is>
      </c>
      <c r="D12" s="12" t="inlineStr">
        <is>
          <t>Common</t>
        </is>
      </c>
      <c r="E12" s="36" t="inlineStr">
        <is>
          <t>def</t>
        </is>
      </c>
      <c r="F12" s="37" t="n">
        <v>40</v>
      </c>
      <c r="G12" s="37" t="inlineStr">
        <is>
          <t>Flat</t>
        </is>
      </c>
      <c r="H12" t="inlineStr">
        <is>
          <t>Warrior_Pool</t>
        </is>
      </c>
    </row>
    <row r="13">
      <c r="A13" s="15" t="inlineStr">
        <is>
          <t>Armor06_Chestplate</t>
        </is>
      </c>
      <c r="B13" s="37" t="inlineStr">
        <is>
          <t>Chestplate</t>
        </is>
      </c>
      <c r="C13" s="37" t="inlineStr">
        <is>
          <t>Armor06</t>
        </is>
      </c>
      <c r="D13" s="14" t="inlineStr">
        <is>
          <t>Epic</t>
        </is>
      </c>
      <c r="E13" s="36" t="inlineStr">
        <is>
          <t>def</t>
        </is>
      </c>
      <c r="F13" s="37" t="n">
        <v>40</v>
      </c>
      <c r="G13" s="37" t="inlineStr">
        <is>
          <t>Flat</t>
        </is>
      </c>
      <c r="H13" t="inlineStr">
        <is>
          <t>Warrior_Pool</t>
        </is>
      </c>
    </row>
    <row r="14">
      <c r="A14" s="15" t="inlineStr">
        <is>
          <t>Armor01_Gloves</t>
        </is>
      </c>
      <c r="B14" s="37" t="inlineStr">
        <is>
          <t>Gloves</t>
        </is>
      </c>
      <c r="C14" s="37" t="inlineStr">
        <is>
          <t>Armor01</t>
        </is>
      </c>
      <c r="D14" s="2" t="inlineStr">
        <is>
          <t>Legendary</t>
        </is>
      </c>
      <c r="E14" s="36" t="inlineStr">
        <is>
          <t>atk</t>
        </is>
      </c>
      <c r="F14" s="37" t="n">
        <v>50</v>
      </c>
      <c r="G14" s="37" t="inlineStr">
        <is>
          <t>Flat</t>
        </is>
      </c>
      <c r="H14" t="inlineStr">
        <is>
          <t>Warrior_Pool</t>
        </is>
      </c>
    </row>
    <row r="15">
      <c r="A15" s="15" t="inlineStr">
        <is>
          <t>Armor02_Gloves</t>
        </is>
      </c>
      <c r="B15" s="37" t="inlineStr">
        <is>
          <t>Gloves</t>
        </is>
      </c>
      <c r="C15" s="37" t="inlineStr">
        <is>
          <t>Armor02</t>
        </is>
      </c>
      <c r="D15" s="3" t="inlineStr">
        <is>
          <t>Rare</t>
        </is>
      </c>
      <c r="E15" s="36" t="inlineStr">
        <is>
          <t>atk</t>
        </is>
      </c>
      <c r="F15" s="37" t="n">
        <v>50</v>
      </c>
      <c r="G15" s="37" t="inlineStr">
        <is>
          <t>Flat</t>
        </is>
      </c>
      <c r="H15" t="inlineStr">
        <is>
          <t>Warrior_Pool</t>
        </is>
      </c>
    </row>
    <row r="16">
      <c r="A16" s="15" t="inlineStr">
        <is>
          <t>Armor03_Gloves</t>
        </is>
      </c>
      <c r="B16" s="37" t="inlineStr">
        <is>
          <t>Gloves</t>
        </is>
      </c>
      <c r="C16" s="37" t="inlineStr">
        <is>
          <t>Armor03</t>
        </is>
      </c>
      <c r="D16" s="6" t="inlineStr">
        <is>
          <t>Uncommon</t>
        </is>
      </c>
      <c r="E16" s="36" t="inlineStr">
        <is>
          <t>atk</t>
        </is>
      </c>
      <c r="F16" s="37" t="n">
        <v>50</v>
      </c>
      <c r="G16" s="37" t="inlineStr">
        <is>
          <t>Flat</t>
        </is>
      </c>
      <c r="H16" t="inlineStr">
        <is>
          <t>Warrior_Pool</t>
        </is>
      </c>
    </row>
    <row r="17">
      <c r="A17" s="15" t="inlineStr">
        <is>
          <t>Armor04_Gloves</t>
        </is>
      </c>
      <c r="B17" s="37" t="inlineStr">
        <is>
          <t>Gloves</t>
        </is>
      </c>
      <c r="C17" s="37" t="inlineStr">
        <is>
          <t>Armor04</t>
        </is>
      </c>
      <c r="D17" s="14" t="inlineStr">
        <is>
          <t>Epic</t>
        </is>
      </c>
      <c r="E17" s="36" t="inlineStr">
        <is>
          <t>atk</t>
        </is>
      </c>
      <c r="F17" s="37" t="n">
        <v>50</v>
      </c>
      <c r="G17" s="37" t="inlineStr">
        <is>
          <t>Flat</t>
        </is>
      </c>
      <c r="H17" t="inlineStr">
        <is>
          <t>Warrior_Pool</t>
        </is>
      </c>
    </row>
    <row r="18">
      <c r="A18" s="15" t="inlineStr">
        <is>
          <t>Armor05_Gloves</t>
        </is>
      </c>
      <c r="B18" s="37" t="inlineStr">
        <is>
          <t>Gloves</t>
        </is>
      </c>
      <c r="C18" s="37" t="inlineStr">
        <is>
          <t>Armor05</t>
        </is>
      </c>
      <c r="D18" s="12" t="inlineStr">
        <is>
          <t>Common</t>
        </is>
      </c>
      <c r="E18" s="36" t="inlineStr">
        <is>
          <t>atk</t>
        </is>
      </c>
      <c r="F18" s="37" t="n">
        <v>50</v>
      </c>
      <c r="G18" s="37" t="inlineStr">
        <is>
          <t>Flat</t>
        </is>
      </c>
      <c r="H18" t="inlineStr">
        <is>
          <t>Warrior_Pool</t>
        </is>
      </c>
    </row>
    <row r="19">
      <c r="A19" s="15" t="inlineStr">
        <is>
          <t>Armor06_Gloves</t>
        </is>
      </c>
      <c r="B19" s="37" t="inlineStr">
        <is>
          <t>Gloves</t>
        </is>
      </c>
      <c r="C19" s="37" t="inlineStr">
        <is>
          <t>Armor06</t>
        </is>
      </c>
      <c r="D19" s="14" t="inlineStr">
        <is>
          <t>Epic</t>
        </is>
      </c>
      <c r="E19" s="36" t="inlineStr">
        <is>
          <t>atk</t>
        </is>
      </c>
      <c r="F19" s="37" t="n">
        <v>50</v>
      </c>
      <c r="G19" s="37" t="inlineStr">
        <is>
          <t>Flat</t>
        </is>
      </c>
      <c r="H19" t="inlineStr">
        <is>
          <t>Warrior_Pool</t>
        </is>
      </c>
    </row>
    <row r="20">
      <c r="A20" s="15" t="inlineStr">
        <is>
          <t>Armor01_Boots</t>
        </is>
      </c>
      <c r="B20" s="37" t="inlineStr">
        <is>
          <t>Boots</t>
        </is>
      </c>
      <c r="C20" s="37" t="inlineStr">
        <is>
          <t>Armor01</t>
        </is>
      </c>
      <c r="D20" s="2" t="inlineStr">
        <is>
          <t>Legendary</t>
        </is>
      </c>
      <c r="E20" s="36" t="inlineStr">
        <is>
          <t>speed</t>
        </is>
      </c>
      <c r="F20" s="37" t="n">
        <v>3</v>
      </c>
      <c r="G20" s="37" t="inlineStr">
        <is>
          <t>Flat</t>
        </is>
      </c>
      <c r="H20" t="inlineStr">
        <is>
          <t>Warrior_Pool</t>
        </is>
      </c>
    </row>
    <row r="21">
      <c r="A21" s="15" t="inlineStr">
        <is>
          <t>Armor02_Boots</t>
        </is>
      </c>
      <c r="B21" s="37" t="inlineStr">
        <is>
          <t>Boots</t>
        </is>
      </c>
      <c r="C21" s="37" t="inlineStr">
        <is>
          <t>Armor02</t>
        </is>
      </c>
      <c r="D21" s="3" t="inlineStr">
        <is>
          <t>Rare</t>
        </is>
      </c>
      <c r="E21" s="36" t="inlineStr">
        <is>
          <t>speed</t>
        </is>
      </c>
      <c r="F21" s="37" t="n">
        <v>3</v>
      </c>
      <c r="G21" s="37" t="inlineStr">
        <is>
          <t>Flat</t>
        </is>
      </c>
      <c r="H21" t="inlineStr">
        <is>
          <t>Warrior_Pool</t>
        </is>
      </c>
    </row>
    <row r="22">
      <c r="A22" s="15" t="inlineStr">
        <is>
          <t>Armor03_Boots</t>
        </is>
      </c>
      <c r="B22" s="37" t="inlineStr">
        <is>
          <t>Boots</t>
        </is>
      </c>
      <c r="C22" s="37" t="inlineStr">
        <is>
          <t>Armor03</t>
        </is>
      </c>
      <c r="D22" s="6" t="inlineStr">
        <is>
          <t>Uncommon</t>
        </is>
      </c>
      <c r="E22" s="36" t="inlineStr">
        <is>
          <t>speed</t>
        </is>
      </c>
      <c r="F22" s="37" t="n">
        <v>3</v>
      </c>
      <c r="G22" s="37" t="inlineStr">
        <is>
          <t>Flat</t>
        </is>
      </c>
      <c r="H22" t="inlineStr">
        <is>
          <t>Warrior_Pool</t>
        </is>
      </c>
    </row>
    <row r="23">
      <c r="A23" s="15" t="inlineStr">
        <is>
          <t>Armor04_Boots</t>
        </is>
      </c>
      <c r="B23" s="37" t="inlineStr">
        <is>
          <t>Boots</t>
        </is>
      </c>
      <c r="C23" s="37" t="inlineStr">
        <is>
          <t>Armor04</t>
        </is>
      </c>
      <c r="D23" s="14" t="inlineStr">
        <is>
          <t>Epic</t>
        </is>
      </c>
      <c r="E23" s="36" t="inlineStr">
        <is>
          <t>speed</t>
        </is>
      </c>
      <c r="F23" s="37" t="n">
        <v>3</v>
      </c>
      <c r="G23" s="37" t="inlineStr">
        <is>
          <t>Flat</t>
        </is>
      </c>
      <c r="H23" t="inlineStr">
        <is>
          <t>Warrior_Pool</t>
        </is>
      </c>
    </row>
    <row r="24">
      <c r="A24" s="15" t="inlineStr">
        <is>
          <t>Armor05_Boots</t>
        </is>
      </c>
      <c r="B24" s="37" t="inlineStr">
        <is>
          <t>Boots</t>
        </is>
      </c>
      <c r="C24" s="37" t="inlineStr">
        <is>
          <t>Armor05</t>
        </is>
      </c>
      <c r="D24" s="12" t="inlineStr">
        <is>
          <t>Common</t>
        </is>
      </c>
      <c r="E24" s="36" t="inlineStr">
        <is>
          <t>speed</t>
        </is>
      </c>
      <c r="F24" s="37" t="n">
        <v>3</v>
      </c>
      <c r="G24" s="37" t="inlineStr">
        <is>
          <t>Flat</t>
        </is>
      </c>
      <c r="H24" t="inlineStr">
        <is>
          <t>Warrior_Pool</t>
        </is>
      </c>
    </row>
    <row r="25">
      <c r="A25" s="15" t="inlineStr">
        <is>
          <t>Armor06_Boots</t>
        </is>
      </c>
      <c r="B25" s="37" t="inlineStr">
        <is>
          <t>Boots</t>
        </is>
      </c>
      <c r="C25" s="37" t="inlineStr">
        <is>
          <t>Armor06</t>
        </is>
      </c>
      <c r="D25" s="14" t="inlineStr">
        <is>
          <t>Epic</t>
        </is>
      </c>
      <c r="E25" s="36" t="inlineStr">
        <is>
          <t>speed</t>
        </is>
      </c>
      <c r="F25" s="37" t="n">
        <v>3</v>
      </c>
      <c r="G25" s="37" t="inlineStr">
        <is>
          <t>Flat</t>
        </is>
      </c>
      <c r="H25" t="inlineStr">
        <is>
          <t>Warrior_Pool</t>
        </is>
      </c>
    </row>
    <row r="26">
      <c r="A26" s="15" t="inlineStr">
        <is>
          <t>Armor01_Belt</t>
        </is>
      </c>
      <c r="B26" s="37" t="inlineStr">
        <is>
          <t>Belt</t>
        </is>
      </c>
      <c r="C26" s="37" t="inlineStr">
        <is>
          <t>Armor01</t>
        </is>
      </c>
      <c r="D26" s="2" t="inlineStr">
        <is>
          <t>Legendary</t>
        </is>
      </c>
      <c r="E26" s="36" t="inlineStr">
        <is>
          <t>hp</t>
        </is>
      </c>
      <c r="F26" s="37" t="inlineStr">
        <is>
          <t>3.5</t>
        </is>
      </c>
      <c r="G26" s="37" t="inlineStr">
        <is>
          <t>Percent</t>
        </is>
      </c>
      <c r="H26" t="inlineStr">
        <is>
          <t>Warrior_Pool</t>
        </is>
      </c>
    </row>
    <row r="27">
      <c r="A27" s="15" t="inlineStr">
        <is>
          <t>Armor02_Belt</t>
        </is>
      </c>
      <c r="B27" s="37" t="inlineStr">
        <is>
          <t>Belt</t>
        </is>
      </c>
      <c r="C27" s="37" t="inlineStr">
        <is>
          <t>Armor02</t>
        </is>
      </c>
      <c r="D27" s="3" t="inlineStr">
        <is>
          <t>Rare</t>
        </is>
      </c>
      <c r="E27" s="36" t="inlineStr">
        <is>
          <t>hp</t>
        </is>
      </c>
      <c r="F27" s="37" t="inlineStr">
        <is>
          <t>3.5</t>
        </is>
      </c>
      <c r="G27" s="37" t="inlineStr">
        <is>
          <t>Percent</t>
        </is>
      </c>
      <c r="H27" t="inlineStr">
        <is>
          <t>Warrior_Pool</t>
        </is>
      </c>
    </row>
    <row r="28">
      <c r="A28" s="15" t="inlineStr">
        <is>
          <t>Armor03_Belt</t>
        </is>
      </c>
      <c r="B28" s="37" t="inlineStr">
        <is>
          <t>Belt</t>
        </is>
      </c>
      <c r="C28" s="37" t="inlineStr">
        <is>
          <t>Armor03</t>
        </is>
      </c>
      <c r="D28" s="6" t="inlineStr">
        <is>
          <t>Uncommon</t>
        </is>
      </c>
      <c r="E28" s="36" t="inlineStr">
        <is>
          <t>hp</t>
        </is>
      </c>
      <c r="F28" s="37" t="inlineStr">
        <is>
          <t>3.5</t>
        </is>
      </c>
      <c r="G28" s="37" t="inlineStr">
        <is>
          <t>Percent</t>
        </is>
      </c>
      <c r="H28" t="inlineStr">
        <is>
          <t>Warrior_Pool</t>
        </is>
      </c>
    </row>
    <row r="29">
      <c r="A29" s="15" t="inlineStr">
        <is>
          <t>Armor04_Belt</t>
        </is>
      </c>
      <c r="B29" s="37" t="inlineStr">
        <is>
          <t>Belt</t>
        </is>
      </c>
      <c r="C29" s="37" t="inlineStr">
        <is>
          <t>Armor04</t>
        </is>
      </c>
      <c r="D29" s="14" t="inlineStr">
        <is>
          <t>Epic</t>
        </is>
      </c>
      <c r="E29" s="36" t="inlineStr">
        <is>
          <t>hp</t>
        </is>
      </c>
      <c r="F29" s="37" t="inlineStr">
        <is>
          <t>3.5</t>
        </is>
      </c>
      <c r="G29" s="37" t="inlineStr">
        <is>
          <t>Percent</t>
        </is>
      </c>
      <c r="H29" t="inlineStr">
        <is>
          <t>Warrior_Pool</t>
        </is>
      </c>
    </row>
    <row r="30">
      <c r="A30" s="15" t="inlineStr">
        <is>
          <t>Armor05_Belt</t>
        </is>
      </c>
      <c r="B30" s="37" t="inlineStr">
        <is>
          <t>Belt</t>
        </is>
      </c>
      <c r="C30" s="37" t="inlineStr">
        <is>
          <t>Armor05</t>
        </is>
      </c>
      <c r="D30" s="12" t="inlineStr">
        <is>
          <t>Common</t>
        </is>
      </c>
      <c r="E30" s="36" t="inlineStr">
        <is>
          <t>hp</t>
        </is>
      </c>
      <c r="F30" s="37" t="inlineStr">
        <is>
          <t>3.5</t>
        </is>
      </c>
      <c r="G30" s="37" t="inlineStr">
        <is>
          <t>Percent</t>
        </is>
      </c>
      <c r="H30" t="inlineStr">
        <is>
          <t>Warrior_Pool</t>
        </is>
      </c>
    </row>
    <row r="31">
      <c r="A31" s="15" t="inlineStr">
        <is>
          <t>Armor06_Belt</t>
        </is>
      </c>
      <c r="B31" s="37" t="inlineStr">
        <is>
          <t>Belt</t>
        </is>
      </c>
      <c r="C31" s="37" t="inlineStr">
        <is>
          <t>Armor06</t>
        </is>
      </c>
      <c r="D31" s="14" t="inlineStr">
        <is>
          <t>Epic</t>
        </is>
      </c>
      <c r="E31" s="36" t="inlineStr">
        <is>
          <t>hp</t>
        </is>
      </c>
      <c r="F31" s="37" t="inlineStr">
        <is>
          <t>3.5</t>
        </is>
      </c>
      <c r="G31" s="37" t="inlineStr">
        <is>
          <t>Percent</t>
        </is>
      </c>
      <c r="H31" t="inlineStr">
        <is>
          <t>Warrior_Pool</t>
        </is>
      </c>
    </row>
    <row r="32">
      <c r="A32" s="15" t="inlineStr">
        <is>
          <t>Armor01_Ring</t>
        </is>
      </c>
      <c r="B32" s="37" t="inlineStr">
        <is>
          <t>Ring</t>
        </is>
      </c>
      <c r="C32" s="37" t="inlineStr">
        <is>
          <t>Armor01</t>
        </is>
      </c>
      <c r="D32" s="2" t="inlineStr">
        <is>
          <t>Legendary</t>
        </is>
      </c>
      <c r="E32" s="36" t="inlineStr">
        <is>
          <t>crit_rate</t>
        </is>
      </c>
      <c r="F32" s="37" t="n">
        <v>5</v>
      </c>
      <c r="G32" s="37" t="inlineStr">
        <is>
          <t>Flat</t>
        </is>
      </c>
      <c r="H32" t="inlineStr">
        <is>
          <t>Warrior_Pool</t>
        </is>
      </c>
    </row>
    <row r="33">
      <c r="A33" s="15" t="inlineStr">
        <is>
          <t>Armor02_Ring</t>
        </is>
      </c>
      <c r="B33" s="37" t="inlineStr">
        <is>
          <t>Ring</t>
        </is>
      </c>
      <c r="C33" s="37" t="inlineStr">
        <is>
          <t>Armor02</t>
        </is>
      </c>
      <c r="D33" s="3" t="inlineStr">
        <is>
          <t>Rare</t>
        </is>
      </c>
      <c r="E33" s="36" t="inlineStr">
        <is>
          <t>crit_rate</t>
        </is>
      </c>
      <c r="F33" s="37" t="n">
        <v>5</v>
      </c>
      <c r="G33" s="37" t="inlineStr">
        <is>
          <t>Flat</t>
        </is>
      </c>
      <c r="H33" t="inlineStr">
        <is>
          <t>Warrior_Pool</t>
        </is>
      </c>
    </row>
    <row r="34">
      <c r="A34" s="15" t="inlineStr">
        <is>
          <t>Armor03_Ring</t>
        </is>
      </c>
      <c r="B34" s="37" t="inlineStr">
        <is>
          <t>Ring</t>
        </is>
      </c>
      <c r="C34" s="37" t="inlineStr">
        <is>
          <t>Armor03</t>
        </is>
      </c>
      <c r="D34" s="6" t="inlineStr">
        <is>
          <t>Uncommon</t>
        </is>
      </c>
      <c r="E34" s="36" t="inlineStr">
        <is>
          <t>crit_rate</t>
        </is>
      </c>
      <c r="F34" s="37" t="n">
        <v>5</v>
      </c>
      <c r="G34" s="37" t="inlineStr">
        <is>
          <t>Flat</t>
        </is>
      </c>
      <c r="H34" t="inlineStr">
        <is>
          <t>Warrior_Pool</t>
        </is>
      </c>
    </row>
    <row r="35">
      <c r="A35" s="15" t="inlineStr">
        <is>
          <t>Armor04_Ring</t>
        </is>
      </c>
      <c r="B35" s="37" t="inlineStr">
        <is>
          <t>Ring</t>
        </is>
      </c>
      <c r="C35" s="37" t="inlineStr">
        <is>
          <t>Armor04</t>
        </is>
      </c>
      <c r="D35" s="14" t="inlineStr">
        <is>
          <t>Epic</t>
        </is>
      </c>
      <c r="E35" s="36" t="inlineStr">
        <is>
          <t>crit_rate</t>
        </is>
      </c>
      <c r="F35" s="37" t="n">
        <v>5</v>
      </c>
      <c r="G35" s="37" t="inlineStr">
        <is>
          <t>Flat</t>
        </is>
      </c>
      <c r="H35" t="inlineStr">
        <is>
          <t>Warrior_Pool</t>
        </is>
      </c>
    </row>
    <row r="36">
      <c r="A36" s="15" t="inlineStr">
        <is>
          <t>Armor05_Ring</t>
        </is>
      </c>
      <c r="B36" s="37" t="inlineStr">
        <is>
          <t>Ring</t>
        </is>
      </c>
      <c r="C36" s="37" t="inlineStr">
        <is>
          <t>Armor05</t>
        </is>
      </c>
      <c r="D36" s="12" t="inlineStr">
        <is>
          <t>Common</t>
        </is>
      </c>
      <c r="E36" s="36" t="inlineStr">
        <is>
          <t>crit_rate</t>
        </is>
      </c>
      <c r="F36" s="37" t="n">
        <v>5</v>
      </c>
      <c r="G36" s="37" t="inlineStr">
        <is>
          <t>Flat</t>
        </is>
      </c>
      <c r="H36" t="inlineStr">
        <is>
          <t>Warrior_Pool</t>
        </is>
      </c>
    </row>
    <row r="37">
      <c r="A37" s="15" t="inlineStr">
        <is>
          <t>Armor06_Ring</t>
        </is>
      </c>
      <c r="B37" s="37" t="inlineStr">
        <is>
          <t>Ring</t>
        </is>
      </c>
      <c r="C37" s="37" t="inlineStr">
        <is>
          <t>Armor06</t>
        </is>
      </c>
      <c r="D37" s="14" t="inlineStr">
        <is>
          <t>Epic</t>
        </is>
      </c>
      <c r="E37" s="36" t="inlineStr">
        <is>
          <t>crit_rate</t>
        </is>
      </c>
      <c r="F37" s="37" t="n">
        <v>5</v>
      </c>
      <c r="G37" s="37" t="inlineStr">
        <is>
          <t>Flat</t>
        </is>
      </c>
      <c r="H37" t="inlineStr">
        <is>
          <t>Warrior_Pool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I8" sqref="I8"/>
    </sheetView>
  </sheetViews>
  <sheetFormatPr baseColWidth="8" defaultRowHeight="15"/>
  <cols>
    <col width="13.5703125" bestFit="1" customWidth="1" style="35" min="1" max="1"/>
    <col width="14.42578125" bestFit="1" customWidth="1" style="35" min="2" max="2"/>
    <col width="14.140625" bestFit="1" customWidth="1" style="35" min="5" max="5"/>
  </cols>
  <sheetData>
    <row r="1">
      <c r="A1" s="26" t="inlineStr">
        <is>
          <t>ID</t>
        </is>
      </c>
      <c r="B1" s="26" t="inlineStr">
        <is>
          <t>StatType</t>
        </is>
      </c>
      <c r="C1" s="26" t="inlineStr">
        <is>
          <t>Min</t>
        </is>
      </c>
      <c r="D1" s="26" t="inlineStr">
        <is>
          <t>Max</t>
        </is>
      </c>
      <c r="E1" s="26" t="inlineStr">
        <is>
          <t>Modifier_Type</t>
        </is>
      </c>
      <c r="F1" s="26" t="inlineStr">
        <is>
          <t>Weight</t>
        </is>
      </c>
    </row>
    <row r="2">
      <c r="A2" t="inlineStr">
        <is>
          <t>Warrior_Pool</t>
        </is>
      </c>
      <c r="B2" t="inlineStr">
        <is>
          <t>HP</t>
        </is>
      </c>
      <c r="C2" t="n">
        <v>100</v>
      </c>
      <c r="D2" t="n">
        <v>500</v>
      </c>
      <c r="E2" s="37" t="inlineStr">
        <is>
          <t>Flat</t>
        </is>
      </c>
      <c r="F2" s="36" t="n">
        <v>100</v>
      </c>
    </row>
    <row r="3">
      <c r="A3" t="inlineStr">
        <is>
          <t>Warrior_Pool</t>
        </is>
      </c>
      <c r="B3" t="inlineStr">
        <is>
          <t>ATK</t>
        </is>
      </c>
      <c r="C3" s="37" t="n">
        <v>15</v>
      </c>
      <c r="D3" s="37" t="n">
        <v>75</v>
      </c>
      <c r="E3" s="37" t="inlineStr">
        <is>
          <t>Flat</t>
        </is>
      </c>
      <c r="F3" s="36" t="n">
        <v>100</v>
      </c>
    </row>
    <row r="4">
      <c r="A4" t="inlineStr">
        <is>
          <t>Warrior_Pool</t>
        </is>
      </c>
      <c r="B4" t="inlineStr">
        <is>
          <t>DEF</t>
        </is>
      </c>
      <c r="C4" s="37" t="n">
        <v>10</v>
      </c>
      <c r="D4" s="37" t="n">
        <v>50</v>
      </c>
      <c r="E4" s="37" t="inlineStr">
        <is>
          <t>Flat</t>
        </is>
      </c>
      <c r="F4" s="36" t="n">
        <v>100</v>
      </c>
    </row>
    <row r="5">
      <c r="A5" t="inlineStr">
        <is>
          <t>Warrior_Pool</t>
        </is>
      </c>
      <c r="B5" t="inlineStr">
        <is>
          <t>HP</t>
        </is>
      </c>
      <c r="C5" s="37" t="n">
        <v>2</v>
      </c>
      <c r="D5" s="37" t="n">
        <v>6</v>
      </c>
      <c r="E5" s="37" t="inlineStr">
        <is>
          <t>Percent</t>
        </is>
      </c>
      <c r="F5" s="36" t="n">
        <v>60</v>
      </c>
    </row>
    <row r="6">
      <c r="A6" t="inlineStr">
        <is>
          <t>Warrior_Pool</t>
        </is>
      </c>
      <c r="B6" t="inlineStr">
        <is>
          <t>ATK</t>
        </is>
      </c>
      <c r="C6" s="37" t="n">
        <v>2</v>
      </c>
      <c r="D6" s="37" t="n">
        <v>6</v>
      </c>
      <c r="E6" s="37" t="inlineStr">
        <is>
          <t>Percent</t>
        </is>
      </c>
      <c r="F6" s="36" t="n">
        <v>60</v>
      </c>
    </row>
    <row r="7">
      <c r="A7" t="inlineStr">
        <is>
          <t>Warrior_Pool</t>
        </is>
      </c>
      <c r="B7" t="inlineStr">
        <is>
          <t>DEF</t>
        </is>
      </c>
      <c r="C7" s="37" t="n">
        <v>2</v>
      </c>
      <c r="D7" s="37" t="n">
        <v>6</v>
      </c>
      <c r="E7" s="37" t="inlineStr">
        <is>
          <t>Percent</t>
        </is>
      </c>
      <c r="F7" s="36" t="n">
        <v>60</v>
      </c>
    </row>
    <row r="8">
      <c r="A8" t="inlineStr">
        <is>
          <t>Warrior_Pool</t>
        </is>
      </c>
      <c r="B8" t="inlineStr">
        <is>
          <t>PENETRATION</t>
        </is>
      </c>
      <c r="C8" s="37" t="n">
        <v>3</v>
      </c>
      <c r="D8" s="37" t="n">
        <v>8</v>
      </c>
      <c r="E8" s="37" t="inlineStr">
        <is>
          <t>Percent</t>
        </is>
      </c>
      <c r="F8" s="36" t="n">
        <v>75</v>
      </c>
    </row>
    <row r="9">
      <c r="A9" t="inlineStr">
        <is>
          <t>Warrior_Pool</t>
        </is>
      </c>
      <c r="B9" t="inlineStr">
        <is>
          <t>CRIT_RATE</t>
        </is>
      </c>
      <c r="C9" s="37" t="n">
        <v>2</v>
      </c>
      <c r="D9" s="37" t="n">
        <v>5</v>
      </c>
      <c r="E9" s="37" t="inlineStr">
        <is>
          <t>Percent</t>
        </is>
      </c>
      <c r="F9" s="36" t="n">
        <v>35</v>
      </c>
    </row>
    <row r="10">
      <c r="A10" t="inlineStr">
        <is>
          <t>Warrior_Pool</t>
        </is>
      </c>
      <c r="B10" t="inlineStr">
        <is>
          <t>CRIT_DMG</t>
        </is>
      </c>
      <c r="C10" s="37" t="n">
        <v>5</v>
      </c>
      <c r="D10" s="37" t="n">
        <v>12</v>
      </c>
      <c r="E10" s="37" t="inlineStr">
        <is>
          <t>Percent</t>
        </is>
      </c>
      <c r="F10" s="36" t="n">
        <v>30</v>
      </c>
    </row>
    <row r="11">
      <c r="A11" t="inlineStr">
        <is>
          <t>Warrior_Pool</t>
        </is>
      </c>
      <c r="B11" t="inlineStr">
        <is>
          <t>DEF_SHRED</t>
        </is>
      </c>
      <c r="C11" s="37" t="n">
        <v>30</v>
      </c>
      <c r="D11" s="37" t="n">
        <v>90</v>
      </c>
      <c r="E11" s="37" t="inlineStr">
        <is>
          <t>Flat</t>
        </is>
      </c>
      <c r="F11" s="36" t="n">
        <v>25</v>
      </c>
    </row>
    <row r="12">
      <c r="A12" t="inlineStr">
        <is>
          <t>Warrior_Pool</t>
        </is>
      </c>
      <c r="B12" t="inlineStr">
        <is>
          <t>SPEED</t>
        </is>
      </c>
      <c r="C12" s="37" t="n">
        <v>1</v>
      </c>
      <c r="D12" s="37" t="n">
        <v>4</v>
      </c>
      <c r="E12" s="37" t="inlineStr">
        <is>
          <t>Flat</t>
        </is>
      </c>
      <c r="F12" s="36" t="n">
        <v>25</v>
      </c>
    </row>
    <row r="13">
      <c r="A13" t="inlineStr">
        <is>
          <t>Warrior_Pool</t>
        </is>
      </c>
      <c r="B13" t="inlineStr">
        <is>
          <t>CRIT_DMG_RES</t>
        </is>
      </c>
      <c r="C13" s="37" t="n">
        <v>2</v>
      </c>
      <c r="D13" s="37" t="n">
        <v>5</v>
      </c>
      <c r="E13" s="37" t="inlineStr">
        <is>
          <t>Percent</t>
        </is>
      </c>
      <c r="F13" s="36" t="n">
        <v>20</v>
      </c>
    </row>
    <row r="14">
      <c r="A14" t="inlineStr">
        <is>
          <t>Tanker_Pool</t>
        </is>
      </c>
      <c r="B14" t="inlineStr">
        <is>
          <t>HP</t>
        </is>
      </c>
      <c r="C14" s="37" t="n">
        <v>200</v>
      </c>
      <c r="D14" s="37" t="n">
        <v>800</v>
      </c>
      <c r="E14" s="37" t="inlineStr">
        <is>
          <t>Flat</t>
        </is>
      </c>
      <c r="F14" s="36" t="n">
        <v>100</v>
      </c>
    </row>
    <row r="15">
      <c r="A15" t="inlineStr">
        <is>
          <t>Tanker_Pool</t>
        </is>
      </c>
      <c r="B15" t="inlineStr">
        <is>
          <t>DEF</t>
        </is>
      </c>
      <c r="C15" s="37" t="n">
        <v>20</v>
      </c>
      <c r="D15" s="37" t="n">
        <v>80</v>
      </c>
      <c r="E15" s="37" t="inlineStr">
        <is>
          <t>Flat</t>
        </is>
      </c>
      <c r="F15" s="36" t="n">
        <v>100</v>
      </c>
    </row>
    <row r="16">
      <c r="A16" t="inlineStr">
        <is>
          <t>Tanker_Pool</t>
        </is>
      </c>
      <c r="B16" t="inlineStr">
        <is>
          <t>HP</t>
        </is>
      </c>
      <c r="C16" s="37" t="n">
        <v>3</v>
      </c>
      <c r="D16" s="37" t="n">
        <v>8</v>
      </c>
      <c r="E16" s="37" t="inlineStr">
        <is>
          <t>Percent</t>
        </is>
      </c>
      <c r="F16" s="36" t="n">
        <v>70</v>
      </c>
    </row>
    <row r="17">
      <c r="A17" t="inlineStr">
        <is>
          <t>Tanker_Pool</t>
        </is>
      </c>
      <c r="B17" t="inlineStr">
        <is>
          <t>DEF</t>
        </is>
      </c>
      <c r="C17" s="37" t="n">
        <v>3</v>
      </c>
      <c r="D17" s="37" t="n">
        <v>8</v>
      </c>
      <c r="E17" s="37" t="inlineStr">
        <is>
          <t>Percent</t>
        </is>
      </c>
      <c r="F17" s="36" t="n">
        <v>70</v>
      </c>
    </row>
    <row r="18">
      <c r="A18" t="inlineStr">
        <is>
          <t>Tanker_Pool</t>
        </is>
      </c>
      <c r="B18" t="inlineStr">
        <is>
          <t>CRIT_DMG_RES</t>
        </is>
      </c>
      <c r="C18" s="37" t="n">
        <v>2</v>
      </c>
      <c r="D18" s="37" t="n">
        <v>5</v>
      </c>
      <c r="E18" s="37" t="inlineStr">
        <is>
          <t>Percent</t>
        </is>
      </c>
      <c r="F18" s="36" t="n">
        <v>40</v>
      </c>
    </row>
    <row r="19">
      <c r="A19" t="inlineStr">
        <is>
          <t>Tanker_Pool</t>
        </is>
      </c>
      <c r="B19" t="inlineStr">
        <is>
          <t>SPEED</t>
        </is>
      </c>
      <c r="C19" s="37" t="n">
        <v>1</v>
      </c>
      <c r="D19" s="37" t="n">
        <v>3</v>
      </c>
      <c r="E19" s="37" t="inlineStr">
        <is>
          <t>Flat</t>
        </is>
      </c>
      <c r="F19" s="36" t="n">
        <v>20</v>
      </c>
    </row>
    <row r="20">
      <c r="A20" t="inlineStr">
        <is>
          <t>Assassin_Pool</t>
        </is>
      </c>
      <c r="B20" t="inlineStr">
        <is>
          <t>ATK</t>
        </is>
      </c>
      <c r="C20" s="37" t="n">
        <v>25</v>
      </c>
      <c r="D20" s="37" t="n">
        <v>100</v>
      </c>
      <c r="E20" s="37" t="inlineStr">
        <is>
          <t>Flat</t>
        </is>
      </c>
      <c r="F20" s="36" t="n">
        <v>100</v>
      </c>
    </row>
    <row r="21">
      <c r="A21" t="inlineStr">
        <is>
          <t>Assassin_Pool</t>
        </is>
      </c>
      <c r="B21" t="inlineStr">
        <is>
          <t>ATK</t>
        </is>
      </c>
      <c r="C21" s="37" t="n">
        <v>3</v>
      </c>
      <c r="D21" s="37" t="n">
        <v>7</v>
      </c>
      <c r="E21" s="37" t="inlineStr">
        <is>
          <t>Percent</t>
        </is>
      </c>
      <c r="F21" s="36" t="n">
        <v>80</v>
      </c>
    </row>
    <row r="22">
      <c r="A22" t="inlineStr">
        <is>
          <t>Assassin_Pool</t>
        </is>
      </c>
      <c r="B22" t="inlineStr">
        <is>
          <t>DEF_SHRED</t>
        </is>
      </c>
      <c r="C22" s="37" t="n">
        <v>50</v>
      </c>
      <c r="D22" s="37" t="n">
        <v>150</v>
      </c>
      <c r="E22" s="37" t="inlineStr">
        <is>
          <t>Flat</t>
        </is>
      </c>
      <c r="F22" s="36" t="n">
        <v>75</v>
      </c>
    </row>
    <row r="23">
      <c r="A23" t="inlineStr">
        <is>
          <t>Assassin_Pool</t>
        </is>
      </c>
      <c r="B23" t="inlineStr">
        <is>
          <t>PENETRATION</t>
        </is>
      </c>
      <c r="C23" s="37" t="n">
        <v>4</v>
      </c>
      <c r="D23" s="37" t="n">
        <v>10</v>
      </c>
      <c r="E23" s="37" t="inlineStr">
        <is>
          <t>Percent</t>
        </is>
      </c>
      <c r="F23" s="36" t="n">
        <v>40</v>
      </c>
    </row>
    <row r="24">
      <c r="A24" t="inlineStr">
        <is>
          <t>Assassin_Pool</t>
        </is>
      </c>
      <c r="B24" t="inlineStr">
        <is>
          <t>CRIT_RATE</t>
        </is>
      </c>
      <c r="C24" s="37" t="n">
        <v>3</v>
      </c>
      <c r="D24" s="37" t="n">
        <v>7</v>
      </c>
      <c r="E24" s="37" t="inlineStr">
        <is>
          <t>Percent</t>
        </is>
      </c>
      <c r="F24" s="36" t="n">
        <v>50</v>
      </c>
    </row>
    <row r="25">
      <c r="A25" t="inlineStr">
        <is>
          <t>Assassin_Pool</t>
        </is>
      </c>
      <c r="B25" t="inlineStr">
        <is>
          <t>CRIT_DMG</t>
        </is>
      </c>
      <c r="C25" s="37" t="n">
        <v>8</v>
      </c>
      <c r="D25" s="37" t="n">
        <v>18</v>
      </c>
      <c r="E25" s="37" t="inlineStr">
        <is>
          <t>Percent</t>
        </is>
      </c>
      <c r="F25" s="36" t="n">
        <v>45</v>
      </c>
    </row>
    <row r="26">
      <c r="A26" t="inlineStr">
        <is>
          <t>Assassin_Pool</t>
        </is>
      </c>
      <c r="B26" t="inlineStr">
        <is>
          <t>SPEED</t>
        </is>
      </c>
      <c r="C26" s="37" t="n">
        <v>2</v>
      </c>
      <c r="D26" s="37" t="n">
        <v>5</v>
      </c>
      <c r="E26" s="37" t="inlineStr">
        <is>
          <t>Flat</t>
        </is>
      </c>
      <c r="F26" s="36" t="n">
        <v>35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7" sqref="F7"/>
    </sheetView>
  </sheetViews>
  <sheetFormatPr baseColWidth="8" defaultRowHeight="15"/>
  <cols>
    <col width="8.5703125" bestFit="1" customWidth="1" style="35" min="1" max="1"/>
    <col width="15" bestFit="1" customWidth="1" style="35" min="2" max="2"/>
    <col width="16" bestFit="1" customWidth="1" style="35" min="3" max="3"/>
    <col width="16.28515625" bestFit="1" customWidth="1" style="35" min="4" max="4"/>
    <col width="12.5703125" bestFit="1" customWidth="1" style="35" min="5" max="5"/>
    <col width="14.140625" bestFit="1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Pieces_Required</t>
        </is>
      </c>
      <c r="D1" s="16" t="inlineStr">
        <is>
          <t>Bonus_Stat_Type</t>
        </is>
      </c>
      <c r="E1" s="16" t="inlineStr">
        <is>
          <t>Bonus_Value</t>
        </is>
      </c>
      <c r="F1" s="16" t="inlineStr">
        <is>
          <t>Modifier_Type</t>
        </is>
      </c>
    </row>
    <row r="2">
      <c r="A2" s="37" t="inlineStr">
        <is>
          <t>Armor01</t>
        </is>
      </c>
      <c r="B2" t="inlineStr">
        <is>
          <t>STR_ARMOR_01</t>
        </is>
      </c>
      <c r="C2" s="37" t="n">
        <v>6</v>
      </c>
      <c r="D2" s="37" t="inlineStr">
        <is>
          <t>atk</t>
        </is>
      </c>
      <c r="E2" s="37" t="n">
        <v>20</v>
      </c>
      <c r="F2" s="37" t="inlineStr">
        <is>
          <t>Percent</t>
        </is>
      </c>
    </row>
    <row r="3">
      <c r="A3" s="37" t="inlineStr">
        <is>
          <t>Armor02</t>
        </is>
      </c>
      <c r="B3" t="inlineStr">
        <is>
          <t>STR_ARMOR_02</t>
        </is>
      </c>
      <c r="C3" s="37" t="n">
        <v>6</v>
      </c>
      <c r="D3" s="37" t="inlineStr">
        <is>
          <t>atk</t>
        </is>
      </c>
      <c r="E3" s="37" t="n">
        <v>15</v>
      </c>
      <c r="F3" s="37" t="inlineStr">
        <is>
          <t>Percent</t>
        </is>
      </c>
    </row>
    <row r="4">
      <c r="A4" s="37" t="inlineStr">
        <is>
          <t>Armor03</t>
        </is>
      </c>
      <c r="B4" t="inlineStr">
        <is>
          <t>STR_ARMOR_03</t>
        </is>
      </c>
      <c r="C4" s="37" t="n">
        <v>6</v>
      </c>
      <c r="D4" s="37" t="inlineStr">
        <is>
          <t>hp</t>
        </is>
      </c>
      <c r="E4" s="37" t="n">
        <v>20</v>
      </c>
      <c r="F4" s="37" t="inlineStr">
        <is>
          <t>Percent</t>
        </is>
      </c>
    </row>
    <row r="5">
      <c r="A5" s="37" t="inlineStr">
        <is>
          <t>Armor04</t>
        </is>
      </c>
      <c r="B5" t="inlineStr">
        <is>
          <t>STR_ARMOR_04</t>
        </is>
      </c>
      <c r="C5" s="37" t="n">
        <v>6</v>
      </c>
      <c r="D5" s="37" t="inlineStr">
        <is>
          <t>hp, def</t>
        </is>
      </c>
      <c r="E5" s="37" t="inlineStr">
        <is>
          <t>10, 10</t>
        </is>
      </c>
      <c r="F5" s="37" t="inlineStr">
        <is>
          <t>Percent, Percent</t>
        </is>
      </c>
    </row>
    <row r="6">
      <c r="A6" s="37" t="inlineStr">
        <is>
          <t>Armor05</t>
        </is>
      </c>
      <c r="B6" t="inlineStr">
        <is>
          <t>STR_ARMOR_05</t>
        </is>
      </c>
      <c r="C6" s="37" t="n">
        <v>6</v>
      </c>
      <c r="D6" s="37" t="inlineStr">
        <is>
          <t>atk</t>
        </is>
      </c>
      <c r="E6" s="37" t="n">
        <v>15</v>
      </c>
      <c r="F6" s="37" t="inlineStr">
        <is>
          <t>Percent</t>
        </is>
      </c>
    </row>
    <row r="7">
      <c r="A7" s="37" t="inlineStr">
        <is>
          <t>Armor06</t>
        </is>
      </c>
      <c r="B7" t="inlineStr">
        <is>
          <t>STR_ARMOR_06</t>
        </is>
      </c>
      <c r="C7" s="37" t="n">
        <v>6</v>
      </c>
      <c r="D7" s="37" t="inlineStr">
        <is>
          <t>atk</t>
        </is>
      </c>
      <c r="E7" s="37" t="n">
        <v>15</v>
      </c>
      <c r="F7" s="37" t="inlineStr">
        <is>
          <t>Percent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="130" zoomScaleNormal="130" workbookViewId="0">
      <selection activeCell="A9" sqref="A9"/>
    </sheetView>
  </sheetViews>
  <sheetFormatPr baseColWidth="8" defaultRowHeight="15"/>
  <cols>
    <col width="23.28515625" customWidth="1" style="35" min="1" max="1"/>
    <col width="31.28515625" bestFit="1" customWidth="1" style="35" min="2" max="2"/>
    <col width="8.42578125" bestFit="1" customWidth="1" style="35" min="4" max="5"/>
    <col width="21.7109375" bestFit="1" customWidth="1" style="35" min="6" max="6"/>
    <col width="22.28515625" bestFit="1" customWidth="1" style="35" min="7" max="7"/>
    <col width="18.5703125" customWidth="1" style="35" min="8" max="8"/>
    <col width="16" customWidth="1" style="35" min="9" max="9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Rare</t>
        </is>
      </c>
      <c r="D1" s="16" t="inlineStr">
        <is>
          <t>Type</t>
        </is>
      </c>
      <c r="E1" s="16" t="inlineStr">
        <is>
          <t>Class</t>
        </is>
      </c>
      <c r="F1" s="16" t="inlineStr">
        <is>
          <t>Base</t>
        </is>
      </c>
      <c r="G1" s="16" t="inlineStr">
        <is>
          <t>Major</t>
        </is>
      </c>
      <c r="H1" s="16" t="inlineStr">
        <is>
          <t>Ultimate</t>
        </is>
      </c>
    </row>
    <row r="2">
      <c r="A2" t="inlineStr">
        <is>
          <t>SunWukong</t>
        </is>
      </c>
      <c r="B2" t="inlineStr">
        <is>
          <t>STR_SUN_WUKONG</t>
        </is>
      </c>
      <c r="C2" s="2" t="inlineStr">
        <is>
          <t>UR</t>
        </is>
      </c>
      <c r="D2" s="8" t="inlineStr">
        <is>
          <t>Fighter</t>
        </is>
      </c>
      <c r="E2" s="26" t="inlineStr">
        <is>
          <t>Character</t>
        </is>
      </c>
      <c r="F2" s="37" t="inlineStr">
        <is>
          <t>SunWukong_B</t>
        </is>
      </c>
      <c r="G2" s="37" t="inlineStr">
        <is>
          <t>SunWukong_M</t>
        </is>
      </c>
      <c r="H2" s="37" t="inlineStr">
        <is>
          <t>SunWukong_U</t>
        </is>
      </c>
    </row>
    <row r="3">
      <c r="A3" t="inlineStr">
        <is>
          <t>TangSanZang</t>
        </is>
      </c>
      <c r="B3" t="inlineStr">
        <is>
          <t>STR_TANG_SANZANG</t>
        </is>
      </c>
      <c r="C3" s="17" t="inlineStr">
        <is>
          <t>R</t>
        </is>
      </c>
      <c r="D3" s="7" t="inlineStr">
        <is>
          <t>Mage</t>
        </is>
      </c>
      <c r="E3" s="26" t="inlineStr">
        <is>
          <t>Character</t>
        </is>
      </c>
      <c r="F3" s="37" t="inlineStr">
        <is>
          <t>TangSanZang_B</t>
        </is>
      </c>
      <c r="G3" s="37" t="inlineStr">
        <is>
          <t>TangSanZang_M</t>
        </is>
      </c>
      <c r="H3" s="37" t="inlineStr">
        <is>
          <t>TangSanZang_U</t>
        </is>
      </c>
    </row>
    <row r="4">
      <c r="A4" t="inlineStr">
        <is>
          <t>ZhuBaJie</t>
        </is>
      </c>
      <c r="B4" t="inlineStr">
        <is>
          <t>STR_ZHU_BAIJE</t>
        </is>
      </c>
      <c r="C4" s="3" t="inlineStr">
        <is>
          <t>SR</t>
        </is>
      </c>
      <c r="D4" s="40" t="inlineStr">
        <is>
          <t>Tanker</t>
        </is>
      </c>
      <c r="E4" s="26" t="inlineStr">
        <is>
          <t>Character</t>
        </is>
      </c>
      <c r="F4" s="37" t="inlineStr">
        <is>
          <t>ZhuBaJie_B</t>
        </is>
      </c>
      <c r="G4" s="37" t="inlineStr">
        <is>
          <t>ZhuBaJie_M</t>
        </is>
      </c>
      <c r="H4" s="37" t="inlineStr">
        <is>
          <t>ZhuBaJie_U</t>
        </is>
      </c>
    </row>
    <row r="5">
      <c r="A5" t="inlineStr">
        <is>
          <t>ShaWujing</t>
        </is>
      </c>
      <c r="B5" t="inlineStr">
        <is>
          <t>STR_SHA_WUJING</t>
        </is>
      </c>
      <c r="C5" s="3" t="inlineStr">
        <is>
          <t>SR</t>
        </is>
      </c>
      <c r="D5" s="40" t="inlineStr">
        <is>
          <t>Tanker</t>
        </is>
      </c>
      <c r="E5" s="26" t="inlineStr">
        <is>
          <t>Character</t>
        </is>
      </c>
      <c r="F5" s="37" t="inlineStr">
        <is>
          <t>ShaWujing_B</t>
        </is>
      </c>
      <c r="G5" s="37" t="inlineStr">
        <is>
          <t>ShaWujing_M</t>
        </is>
      </c>
      <c r="H5" s="37" t="inlineStr">
        <is>
          <t>ShaWujing_U</t>
        </is>
      </c>
    </row>
    <row r="6">
      <c r="A6" s="23" t="inlineStr">
        <is>
          <t>DragonKing</t>
        </is>
      </c>
      <c r="B6" s="23" t="inlineStr">
        <is>
          <t>STR_DRAGON_KING_EATERN_SEA</t>
        </is>
      </c>
      <c r="C6" s="24" t="inlineStr">
        <is>
          <t>SR</t>
        </is>
      </c>
      <c r="D6" s="32" t="inlineStr">
        <is>
          <t>Support</t>
        </is>
      </c>
      <c r="E6" s="26" t="inlineStr">
        <is>
          <t>Character</t>
        </is>
      </c>
      <c r="F6" s="37" t="inlineStr">
        <is>
          <t>DragonKing_B</t>
        </is>
      </c>
      <c r="G6" s="37" t="inlineStr">
        <is>
          <t>DragonKing_M</t>
        </is>
      </c>
      <c r="H6" s="37" t="inlineStr">
        <is>
          <t>DragonKing_U</t>
        </is>
      </c>
    </row>
    <row r="7">
      <c r="A7" t="inlineStr">
        <is>
          <t>ThirdPrinceNezha</t>
        </is>
      </c>
      <c r="B7" t="inlineStr">
        <is>
          <t>STR_THIRD_PRINCE_NEZHA</t>
        </is>
      </c>
      <c r="C7" s="14" t="inlineStr">
        <is>
          <t>SSR</t>
        </is>
      </c>
      <c r="D7" s="25" t="inlineStr">
        <is>
          <t>Assassin</t>
        </is>
      </c>
      <c r="E7" s="26" t="inlineStr">
        <is>
          <t>Character</t>
        </is>
      </c>
      <c r="F7" s="37" t="inlineStr">
        <is>
          <t>ThirdPrinceNezha_B</t>
        </is>
      </c>
      <c r="G7" s="37" t="inlineStr">
        <is>
          <t>ThirdPrinceNezha_M</t>
        </is>
      </c>
      <c r="H7" s="37" t="inlineStr">
        <is>
          <t>ThirdPrinceNezha_U</t>
        </is>
      </c>
    </row>
    <row r="8">
      <c r="A8" t="inlineStr">
        <is>
          <t>LittleWhiteDragon</t>
        </is>
      </c>
      <c r="B8" t="inlineStr">
        <is>
          <t>STR_LITTLE_WHITE_DRAGON</t>
        </is>
      </c>
      <c r="C8" s="17" t="inlineStr">
        <is>
          <t>R</t>
        </is>
      </c>
      <c r="D8" s="7" t="inlineStr">
        <is>
          <t>ADCarry</t>
        </is>
      </c>
      <c r="E8" s="26" t="inlineStr">
        <is>
          <t>Character</t>
        </is>
      </c>
      <c r="F8" s="37" t="inlineStr">
        <is>
          <t>LittleWhiteDragon_B</t>
        </is>
      </c>
      <c r="G8" s="37" t="inlineStr">
        <is>
          <t>LittleWhiteDragon_M</t>
        </is>
      </c>
      <c r="H8" s="37" t="inlineStr">
        <is>
          <t>LittleWhiteDragon_U</t>
        </is>
      </c>
    </row>
    <row r="9">
      <c r="A9" t="inlineStr">
        <is>
          <t>BullDemonKing</t>
        </is>
      </c>
      <c r="B9" t="inlineStr">
        <is>
          <t>STR_BULL_DEMON_KING</t>
        </is>
      </c>
      <c r="C9" s="14" t="inlineStr">
        <is>
          <t>SSR</t>
        </is>
      </c>
      <c r="D9" s="40" t="inlineStr">
        <is>
          <t>Tanker</t>
        </is>
      </c>
      <c r="E9" s="26" t="inlineStr">
        <is>
          <t>Character</t>
        </is>
      </c>
      <c r="F9" s="37" t="inlineStr">
        <is>
          <t>BullDemonKing_B</t>
        </is>
      </c>
      <c r="G9" s="37" t="inlineStr">
        <is>
          <t>BullDemonKing_M</t>
        </is>
      </c>
      <c r="H9" s="37" t="inlineStr">
        <is>
          <t>BullDemonKing_U</t>
        </is>
      </c>
    </row>
    <row r="10">
      <c r="A10" t="inlineStr">
        <is>
          <t>ErlangShen</t>
        </is>
      </c>
      <c r="B10" t="inlineStr">
        <is>
          <t>STR_ERLANG_SHEN_YANG_JIAN</t>
        </is>
      </c>
      <c r="C10" s="2" t="inlineStr">
        <is>
          <t>UR</t>
        </is>
      </c>
      <c r="D10" s="8" t="inlineStr">
        <is>
          <t>Fighter</t>
        </is>
      </c>
      <c r="E10" s="26" t="inlineStr">
        <is>
          <t>Character</t>
        </is>
      </c>
      <c r="F10" s="37" t="inlineStr">
        <is>
          <t>ErlangShen_B</t>
        </is>
      </c>
      <c r="G10" s="37" t="inlineStr">
        <is>
          <t>ErlangShen_M</t>
        </is>
      </c>
      <c r="H10" s="37" t="inlineStr">
        <is>
          <t>ErlangShen_U</t>
        </is>
      </c>
    </row>
    <row r="11">
      <c r="A11" s="23" t="inlineStr">
        <is>
          <t>GuanyinBodhisattva</t>
        </is>
      </c>
      <c r="B11" s="23" t="inlineStr">
        <is>
          <t>STR_GUANYIN_BODHISATTVA</t>
        </is>
      </c>
      <c r="C11" s="24" t="inlineStr">
        <is>
          <t>UR</t>
        </is>
      </c>
      <c r="D11" s="25" t="inlineStr">
        <is>
          <t>Mage</t>
        </is>
      </c>
      <c r="E11" s="26" t="inlineStr">
        <is>
          <t>Character</t>
        </is>
      </c>
      <c r="F11" s="37" t="inlineStr">
        <is>
          <t>GuanyinBodhisattva_B</t>
        </is>
      </c>
      <c r="G11" s="37" t="inlineStr">
        <is>
          <t>GuanyinBodhisattva_M</t>
        </is>
      </c>
      <c r="H11" s="37" t="inlineStr">
        <is>
          <t>GuanyinBodhisattva_U</t>
        </is>
      </c>
    </row>
    <row r="12">
      <c r="A12" s="11" t="inlineStr">
        <is>
          <t>VanguardTiger</t>
        </is>
      </c>
      <c r="B12" t="inlineStr">
        <is>
          <t>STR_VANGUARD_TIGER</t>
        </is>
      </c>
      <c r="C12" s="17" t="inlineStr">
        <is>
          <t>R</t>
        </is>
      </c>
      <c r="D12" s="8" t="inlineStr">
        <is>
          <t>Fighter</t>
        </is>
      </c>
      <c r="E12" s="7" t="inlineStr">
        <is>
          <t>Boss</t>
        </is>
      </c>
      <c r="F12" s="37" t="inlineStr">
        <is>
          <t>VanguardTiger_B</t>
        </is>
      </c>
      <c r="G12" s="37" t="inlineStr">
        <is>
          <t>None_Skill</t>
        </is>
      </c>
      <c r="H12" s="37" t="inlineStr">
        <is>
          <t>None_Skill</t>
        </is>
      </c>
    </row>
    <row r="13">
      <c r="A13" s="22" t="inlineStr">
        <is>
          <t>TheBoySage</t>
        </is>
      </c>
      <c r="B13" t="inlineStr">
        <is>
          <t>STR_THE_BOY_SAGE</t>
        </is>
      </c>
      <c r="C13" s="2" t="inlineStr">
        <is>
          <t>UR</t>
        </is>
      </c>
      <c r="D13" s="25" t="inlineStr">
        <is>
          <t>Assassin</t>
        </is>
      </c>
      <c r="E13" s="7" t="inlineStr">
        <is>
          <t>Boss</t>
        </is>
      </c>
      <c r="F13" s="37" t="inlineStr">
        <is>
          <t>TheBoySage_B</t>
        </is>
      </c>
      <c r="G13" s="37" t="inlineStr">
        <is>
          <t>TheBoySage_M</t>
        </is>
      </c>
      <c r="H13" s="37" t="inlineStr">
        <is>
          <t>TheBoySage_U</t>
        </is>
      </c>
    </row>
    <row r="14">
      <c r="A14" s="22" t="inlineStr">
        <is>
          <t>GoldHornKing</t>
        </is>
      </c>
      <c r="B14" t="inlineStr">
        <is>
          <t>STR_GOLD_HORN_KING</t>
        </is>
      </c>
      <c r="C14" s="14" t="inlineStr">
        <is>
          <t>SSR</t>
        </is>
      </c>
      <c r="D14" s="25" t="inlineStr">
        <is>
          <t>Assassin</t>
        </is>
      </c>
      <c r="E14" s="7" t="inlineStr">
        <is>
          <t>Boss</t>
        </is>
      </c>
      <c r="F14" s="37" t="inlineStr">
        <is>
          <t>GoldHornKing_B</t>
        </is>
      </c>
      <c r="G14" s="37" t="inlineStr">
        <is>
          <t>GoldHornKing_M</t>
        </is>
      </c>
      <c r="H14" s="37" t="inlineStr">
        <is>
          <t>GoldHornKing_U</t>
        </is>
      </c>
    </row>
    <row r="15">
      <c r="A15" s="22" t="inlineStr">
        <is>
          <t>SilverHornKing</t>
        </is>
      </c>
      <c r="B15" t="inlineStr">
        <is>
          <t>STR_SILVER_HORN_KING</t>
        </is>
      </c>
      <c r="C15" s="14" t="inlineStr">
        <is>
          <t>SSR</t>
        </is>
      </c>
      <c r="D15" s="25" t="inlineStr">
        <is>
          <t>Assassin</t>
        </is>
      </c>
      <c r="E15" s="7" t="inlineStr">
        <is>
          <t>Boss</t>
        </is>
      </c>
      <c r="F15" s="37" t="inlineStr">
        <is>
          <t>SilverHornKing_B</t>
        </is>
      </c>
      <c r="G15" s="37" t="inlineStr">
        <is>
          <t>SilverHornKing_M</t>
        </is>
      </c>
      <c r="H15" s="37" t="inlineStr">
        <is>
          <t>SilverHornKing_U</t>
        </is>
      </c>
    </row>
    <row r="16">
      <c r="A16" s="22" t="inlineStr">
        <is>
          <t>YellowWindMonster</t>
        </is>
      </c>
      <c r="B16" t="inlineStr">
        <is>
          <t>STR_YELLOW_WIND_MONSTER</t>
        </is>
      </c>
      <c r="C16" s="2" t="inlineStr">
        <is>
          <t>UR</t>
        </is>
      </c>
      <c r="D16" s="8" t="inlineStr">
        <is>
          <t>Fighter</t>
        </is>
      </c>
      <c r="E16" s="7" t="inlineStr">
        <is>
          <t>Boss</t>
        </is>
      </c>
      <c r="F16" s="37" t="inlineStr">
        <is>
          <t>YellowWindMonster_B</t>
        </is>
      </c>
      <c r="G16" s="37" t="inlineStr">
        <is>
          <t>YellowWindMonster_M</t>
        </is>
      </c>
      <c r="H16" s="37" t="inlineStr">
        <is>
          <t>YellowWindMonster_U</t>
        </is>
      </c>
    </row>
    <row r="17">
      <c r="A17" s="22" t="inlineStr">
        <is>
          <t>GoldfishDemon</t>
        </is>
      </c>
      <c r="B17" t="inlineStr">
        <is>
          <t>STR_GOLD_FISH_DEMON</t>
        </is>
      </c>
      <c r="C17" s="14" t="inlineStr">
        <is>
          <t>SSR</t>
        </is>
      </c>
      <c r="D17" s="8" t="inlineStr">
        <is>
          <t>Fighter</t>
        </is>
      </c>
      <c r="E17" s="7" t="inlineStr">
        <is>
          <t>Boss</t>
        </is>
      </c>
      <c r="F17" s="37" t="inlineStr">
        <is>
          <t>GoldfishDemon_B</t>
        </is>
      </c>
      <c r="G17" s="37" t="inlineStr">
        <is>
          <t>GoldfishDemon_M</t>
        </is>
      </c>
      <c r="H17" s="37" t="inlineStr">
        <is>
          <t>GoldfishDemon_U</t>
        </is>
      </c>
    </row>
    <row r="18">
      <c r="A18" s="11" t="inlineStr">
        <is>
          <t>HeavenlySoddier</t>
        </is>
      </c>
      <c r="B18" t="inlineStr">
        <is>
          <t>STR_HEAVENLY_SODDIERS</t>
        </is>
      </c>
      <c r="C18" s="17" t="inlineStr">
        <is>
          <t>R</t>
        </is>
      </c>
      <c r="D18" s="8" t="inlineStr">
        <is>
          <t>Fighter</t>
        </is>
      </c>
      <c r="E18" s="37" t="inlineStr">
        <is>
          <t>Creep</t>
        </is>
      </c>
      <c r="F18" s="37" t="inlineStr">
        <is>
          <t>HeavenlySoddier_B</t>
        </is>
      </c>
      <c r="G18" s="37" t="inlineStr">
        <is>
          <t>None_Skill</t>
        </is>
      </c>
      <c r="H18" s="37" t="inlineStr">
        <is>
          <t>None_Skill</t>
        </is>
      </c>
    </row>
    <row r="19">
      <c r="A19" s="11" t="inlineStr">
        <is>
          <t>YoungBufflalo</t>
        </is>
      </c>
      <c r="B19" t="inlineStr">
        <is>
          <t>STR_YOUNG_BUFFALO</t>
        </is>
      </c>
      <c r="C19" s="17" t="inlineStr">
        <is>
          <t>R</t>
        </is>
      </c>
      <c r="D19" s="8" t="inlineStr">
        <is>
          <t>Fighter</t>
        </is>
      </c>
      <c r="E19" s="37" t="inlineStr">
        <is>
          <t>Creep</t>
        </is>
      </c>
      <c r="F19" s="37" t="inlineStr">
        <is>
          <t>YoungBufflalo_B</t>
        </is>
      </c>
      <c r="G19" s="37" t="inlineStr">
        <is>
          <t>None_Skill</t>
        </is>
      </c>
      <c r="H19" s="37" t="inlineStr">
        <is>
          <t>None_Skill</t>
        </is>
      </c>
    </row>
    <row r="20">
      <c r="A20" s="11" t="inlineStr">
        <is>
          <t>Minions</t>
        </is>
      </c>
      <c r="B20" t="inlineStr">
        <is>
          <t>STR_MINIONS</t>
        </is>
      </c>
      <c r="C20" s="17" t="inlineStr">
        <is>
          <t>R</t>
        </is>
      </c>
      <c r="D20" s="8" t="inlineStr">
        <is>
          <t>Fighter</t>
        </is>
      </c>
      <c r="E20" s="37" t="inlineStr">
        <is>
          <t>Creep</t>
        </is>
      </c>
      <c r="F20" s="37" t="inlineStr">
        <is>
          <t>Minions_B</t>
        </is>
      </c>
      <c r="G20" s="37" t="inlineStr">
        <is>
          <t>None_Skill</t>
        </is>
      </c>
      <c r="H20" s="37" t="inlineStr">
        <is>
          <t>None_Skill</t>
        </is>
      </c>
    </row>
    <row r="21">
      <c r="A21" s="11" t="inlineStr">
        <is>
          <t>RatMonster</t>
        </is>
      </c>
      <c r="B21" t="inlineStr">
        <is>
          <t>STR_RAT_MONSTER</t>
        </is>
      </c>
      <c r="C21" s="17" t="inlineStr">
        <is>
          <t>R</t>
        </is>
      </c>
      <c r="D21" s="8" t="inlineStr">
        <is>
          <t>Fighter</t>
        </is>
      </c>
      <c r="E21" s="37" t="inlineStr">
        <is>
          <t>Creep</t>
        </is>
      </c>
      <c r="F21" s="37" t="inlineStr">
        <is>
          <t>RatMonster_B</t>
        </is>
      </c>
      <c r="G21" s="37" t="inlineStr">
        <is>
          <t>None_Skill</t>
        </is>
      </c>
      <c r="H21" s="37" t="inlineStr">
        <is>
          <t>None_Skill</t>
        </is>
      </c>
    </row>
    <row r="22">
      <c r="A22" s="11" t="inlineStr">
        <is>
          <t>CrabSolider</t>
        </is>
      </c>
      <c r="B22" t="inlineStr">
        <is>
          <t>STR_CRAB_SOLDIER</t>
        </is>
      </c>
      <c r="C22" s="17" t="inlineStr">
        <is>
          <t>R</t>
        </is>
      </c>
      <c r="D22" s="8" t="inlineStr">
        <is>
          <t>Fighter</t>
        </is>
      </c>
      <c r="E22" s="37" t="inlineStr">
        <is>
          <t>Creep</t>
        </is>
      </c>
      <c r="F22" s="37" t="inlineStr">
        <is>
          <t>CrabSolider_B</t>
        </is>
      </c>
      <c r="G22" s="37" t="inlineStr">
        <is>
          <t>None_Skill</t>
        </is>
      </c>
      <c r="H22" s="37" t="inlineStr">
        <is>
          <t>None_Skill</t>
        </is>
      </c>
    </row>
    <row r="23">
      <c r="A23" s="11" t="inlineStr">
        <is>
          <t>SquidSolider</t>
        </is>
      </c>
      <c r="B23" t="inlineStr">
        <is>
          <t>STR_SQUID_SOLDIER</t>
        </is>
      </c>
      <c r="C23" s="17" t="inlineStr">
        <is>
          <t>R</t>
        </is>
      </c>
      <c r="D23" s="8" t="inlineStr">
        <is>
          <t>Fighter</t>
        </is>
      </c>
      <c r="E23" s="37" t="inlineStr">
        <is>
          <t>Creep</t>
        </is>
      </c>
      <c r="F23" s="37" t="inlineStr">
        <is>
          <t>SquidSolider_B</t>
        </is>
      </c>
      <c r="G23" s="37" t="inlineStr">
        <is>
          <t>None_Skill</t>
        </is>
      </c>
      <c r="H23" s="37" t="inlineStr">
        <is>
          <t>None_Skill</t>
        </is>
      </c>
    </row>
    <row r="24">
      <c r="A24" s="11" t="inlineStr">
        <is>
          <t>Benborba</t>
        </is>
      </c>
      <c r="B24" t="inlineStr">
        <is>
          <t>STR_BENBORBA</t>
        </is>
      </c>
      <c r="C24" s="17" t="inlineStr">
        <is>
          <t>R</t>
        </is>
      </c>
      <c r="D24" s="8" t="inlineStr">
        <is>
          <t>Fighter</t>
        </is>
      </c>
      <c r="E24" s="37" t="inlineStr">
        <is>
          <t>Creep</t>
        </is>
      </c>
      <c r="F24" s="37" t="inlineStr">
        <is>
          <t>Benborba_B</t>
        </is>
      </c>
      <c r="G24" s="37" t="inlineStr">
        <is>
          <t>None_Skill</t>
        </is>
      </c>
      <c r="H24" s="37" t="inlineStr">
        <is>
          <t>None_Skill</t>
        </is>
      </c>
    </row>
    <row r="25">
      <c r="A25" s="11" t="inlineStr">
        <is>
          <t>Baborben</t>
        </is>
      </c>
      <c r="B25" t="inlineStr">
        <is>
          <t>STR_BABORBEN</t>
        </is>
      </c>
      <c r="C25" s="17" t="inlineStr">
        <is>
          <t>R</t>
        </is>
      </c>
      <c r="D25" s="8" t="inlineStr">
        <is>
          <t>Fighter</t>
        </is>
      </c>
      <c r="E25" s="37" t="inlineStr">
        <is>
          <t>Creep</t>
        </is>
      </c>
      <c r="F25" s="37" t="inlineStr">
        <is>
          <t>Baborben_B</t>
        </is>
      </c>
      <c r="G25" s="37" t="inlineStr">
        <is>
          <t>None_Skill</t>
        </is>
      </c>
      <c r="H25" s="37" t="inlineStr">
        <is>
          <t>None_Skill</t>
        </is>
      </c>
    </row>
    <row r="26">
      <c r="A26" t="inlineStr">
        <is>
          <t>LiJing</t>
        </is>
      </c>
      <c r="B26" t="inlineStr">
        <is>
          <t>STR_LI_JING</t>
        </is>
      </c>
      <c r="C26" s="14" t="inlineStr">
        <is>
          <t>SSR</t>
        </is>
      </c>
      <c r="D26" s="40" t="inlineStr">
        <is>
          <t>Tanker</t>
        </is>
      </c>
      <c r="E26" s="26" t="inlineStr">
        <is>
          <t>Character</t>
        </is>
      </c>
      <c r="F26" s="37" t="inlineStr">
        <is>
          <t>LiJing_B</t>
        </is>
      </c>
      <c r="G26" s="37" t="inlineStr">
        <is>
          <t>LiJing_M</t>
        </is>
      </c>
      <c r="H26" s="37" t="inlineStr">
        <is>
          <t>LiJing_U</t>
        </is>
      </c>
    </row>
    <row r="27">
      <c r="A27" t="inlineStr">
        <is>
          <t>MarshalTianpeng</t>
        </is>
      </c>
      <c r="B27" t="inlineStr">
        <is>
          <t>STR_MARSHAL_TIANPENG</t>
        </is>
      </c>
      <c r="C27" s="14" t="inlineStr">
        <is>
          <t>SSR</t>
        </is>
      </c>
      <c r="D27" s="40" t="inlineStr">
        <is>
          <t>Tanker</t>
        </is>
      </c>
      <c r="E27" s="7" t="inlineStr">
        <is>
          <t>Boss</t>
        </is>
      </c>
      <c r="F27" s="37" t="inlineStr">
        <is>
          <t>MarshalTianpeng_B</t>
        </is>
      </c>
      <c r="G27" s="37" t="inlineStr">
        <is>
          <t>MarshalTianpeng_M</t>
        </is>
      </c>
      <c r="H27" s="37" t="inlineStr">
        <is>
          <t>MarshalTianpeng_U</t>
        </is>
      </c>
    </row>
    <row r="28">
      <c r="A28" t="inlineStr">
        <is>
          <t>ThirdPrinceNezha_Boss</t>
        </is>
      </c>
      <c r="B28" t="inlineStr">
        <is>
          <t>STR_THIRD_PRINCE_NEZHA</t>
        </is>
      </c>
      <c r="C28" s="14" t="inlineStr">
        <is>
          <t>SSR</t>
        </is>
      </c>
      <c r="D28" s="25" t="inlineStr">
        <is>
          <t>Assassin</t>
        </is>
      </c>
      <c r="E28" s="7" t="inlineStr">
        <is>
          <t>Boss</t>
        </is>
      </c>
      <c r="F28" s="37" t="inlineStr">
        <is>
          <t>ThirdPrinceNezha_B</t>
        </is>
      </c>
      <c r="G28" s="37" t="inlineStr">
        <is>
          <t>ThirdPrinceNezha_M</t>
        </is>
      </c>
      <c r="H28" s="37" t="inlineStr">
        <is>
          <t>ThirdPrinceNezha_U</t>
        </is>
      </c>
    </row>
    <row r="29">
      <c r="A29" t="inlineStr">
        <is>
          <t>BullDemonKing_Boss</t>
        </is>
      </c>
      <c r="B29" t="inlineStr">
        <is>
          <t>STR_BULL_DEMON_KING</t>
        </is>
      </c>
      <c r="C29" s="14" t="inlineStr">
        <is>
          <t>SSR</t>
        </is>
      </c>
      <c r="D29" s="40" t="inlineStr">
        <is>
          <t>Tanker</t>
        </is>
      </c>
      <c r="E29" s="7" t="inlineStr">
        <is>
          <t>Boss</t>
        </is>
      </c>
      <c r="F29" s="37" t="inlineStr">
        <is>
          <t>BullDemonKing_B</t>
        </is>
      </c>
      <c r="G29" s="37" t="inlineStr">
        <is>
          <t>BullDemonKing_M</t>
        </is>
      </c>
      <c r="H29" s="37" t="inlineStr">
        <is>
          <t>BullDemonKing_U</t>
        </is>
      </c>
    </row>
    <row r="30">
      <c r="A30" t="inlineStr">
        <is>
          <t>ErlangShen_Boss</t>
        </is>
      </c>
      <c r="B30" t="inlineStr">
        <is>
          <t>STR_ERLANG_SHEN_YANG_JIAN</t>
        </is>
      </c>
      <c r="C30" s="2" t="inlineStr">
        <is>
          <t>UR</t>
        </is>
      </c>
      <c r="D30" s="8" t="inlineStr">
        <is>
          <t>Fighter</t>
        </is>
      </c>
      <c r="E30" s="7" t="inlineStr">
        <is>
          <t>Boss</t>
        </is>
      </c>
      <c r="F30" s="37" t="inlineStr">
        <is>
          <t>ErlangShen_B</t>
        </is>
      </c>
      <c r="G30" s="37" t="inlineStr">
        <is>
          <t>ErlangShen_M</t>
        </is>
      </c>
      <c r="H30" s="37" t="inlineStr">
        <is>
          <t>ErlangShen_U</t>
        </is>
      </c>
    </row>
    <row r="31">
      <c r="A31" t="inlineStr">
        <is>
          <t>LiJing_Boss</t>
        </is>
      </c>
      <c r="B31" t="inlineStr">
        <is>
          <t>STR_LI_JING</t>
        </is>
      </c>
      <c r="C31" s="14" t="inlineStr">
        <is>
          <t>SSR</t>
        </is>
      </c>
      <c r="D31" s="40" t="inlineStr">
        <is>
          <t>Tanker</t>
        </is>
      </c>
      <c r="E31" s="7" t="inlineStr">
        <is>
          <t>Boss</t>
        </is>
      </c>
      <c r="F31" s="37" t="inlineStr">
        <is>
          <t>LiJing_B</t>
        </is>
      </c>
      <c r="G31" s="37" t="inlineStr">
        <is>
          <t>LiJing_M</t>
        </is>
      </c>
      <c r="H31" s="37" t="inlineStr">
        <is>
          <t>LiJing_U</t>
        </is>
      </c>
    </row>
    <row r="32">
      <c r="A32" t="inlineStr">
        <is>
          <t>ThirdDragonPrince</t>
        </is>
      </c>
      <c r="B32" t="inlineStr">
        <is>
          <t>STR_THIRD_DRAGON_PRINCE</t>
        </is>
      </c>
      <c r="C32" s="2" t="inlineStr">
        <is>
          <t>UR</t>
        </is>
      </c>
      <c r="D32" s="8" t="inlineStr">
        <is>
          <t>Fighter</t>
        </is>
      </c>
      <c r="E32" s="7" t="inlineStr">
        <is>
          <t>Boss</t>
        </is>
      </c>
      <c r="F32" s="37" t="inlineStr">
        <is>
          <t>ThirdDragonPrince_B</t>
        </is>
      </c>
      <c r="G32" s="37" t="inlineStr">
        <is>
          <t>ThirdDragonPrince_M</t>
        </is>
      </c>
      <c r="H32" s="37" t="inlineStr">
        <is>
          <t>ThirdDragonPrince_U</t>
        </is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2"/>
  <sheetViews>
    <sheetView zoomScale="115" zoomScaleNormal="115" workbookViewId="0">
      <selection activeCell="I21" sqref="I21"/>
    </sheetView>
  </sheetViews>
  <sheetFormatPr baseColWidth="8" defaultRowHeight="15"/>
  <cols>
    <col width="22.140625" bestFit="1" customWidth="1" style="35" min="1" max="1"/>
    <col width="12.28515625" bestFit="1" customWidth="1" style="35" min="12" max="12"/>
    <col width="11.5703125" bestFit="1" customWidth="1" style="35" min="13" max="13"/>
    <col width="12.42578125" bestFit="1" customWidth="1" style="35" min="14" max="14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Class</t>
        </is>
      </c>
      <c r="E1" s="16" t="inlineStr">
        <is>
          <t>Stat_Bias</t>
        </is>
      </c>
      <c r="F1" s="16" t="inlineStr">
        <is>
          <t>hp</t>
        </is>
      </c>
      <c r="G1" s="16" t="inlineStr">
        <is>
          <t>atk</t>
        </is>
      </c>
      <c r="H1" s="16" t="inlineStr">
        <is>
          <t>def</t>
        </is>
      </c>
      <c r="I1" s="16" t="inlineStr">
        <is>
          <t>speed</t>
        </is>
      </c>
      <c r="J1" s="16" t="inlineStr">
        <is>
          <t>def_shred</t>
        </is>
      </c>
      <c r="K1" s="16" t="inlineStr">
        <is>
          <t>crit_rare</t>
        </is>
      </c>
      <c r="L1" s="16" t="inlineStr">
        <is>
          <t>crit_dmg</t>
        </is>
      </c>
      <c r="M1" s="16" t="inlineStr">
        <is>
          <t>penetration</t>
        </is>
      </c>
      <c r="N1" s="16" t="inlineStr">
        <is>
          <t>crit_dmg_res</t>
        </is>
      </c>
    </row>
    <row r="2">
      <c r="A2" t="inlineStr">
        <is>
          <t>SunWukong</t>
        </is>
      </c>
      <c r="B2" s="2">
        <f>Character!C2</f>
        <v/>
      </c>
      <c r="C2" s="8">
        <f>Character!D2</f>
        <v/>
      </c>
      <c r="D2" s="26">
        <f>Character!E2</f>
        <v/>
      </c>
      <c r="E2" s="37" t="inlineStr">
        <is>
          <t>Offensive</t>
        </is>
      </c>
      <c r="F2" s="37">
        <f>ROUND(VLOOKUP(C2, Stat_Matrix!$E$2:$N$7, 2, FALSE) * VLOOKUP(B2, Stat_Matrix!$A$2:$B$5, 2, FALSE) * VLOOKUP(IF(ISBLANK(D2), "Character", D2), Stat_Matrix!$AA$2:$AD$4, 2, FALSE) * VLOOKUP(IF(ISBLANK(E2), "Balanced", E2), Stat_Matrix!$AG$2:$AP$6, 2, FALSE), 0)</f>
        <v/>
      </c>
      <c r="G2" s="37">
        <f>ROUND(VLOOKUP(C2, Stat_Matrix!$E$2:$N$7, 3, FALSE) * VLOOKUP(B2, Stat_Matrix!$A$2:$B$5, 2, FALSE) * VLOOKUP(IF(ISBLANK(D2), "Character", D2), Stat_Matrix!$AA$2:$AD$4, 3, FALSE) * VLOOKUP(IF(ISBLANK(E2), "Balanced", E2), Stat_Matrix!$AG$2:$AP$6, 3, FALSE), 0)</f>
        <v/>
      </c>
      <c r="H2" s="37">
        <f>ROUND(VLOOKUP(C2, Stat_Matrix!$E$2:$N$7, 4, FALSE) * VLOOKUP(B2, Stat_Matrix!$A$2:$B$5, 2, FALSE) * VLOOKUP(IF(ISBLANK(D2), "Character", D2), Stat_Matrix!$AA$2:$AD$4, 4, FALSE) * VLOOKUP(IF(ISBLANK(E2), "Balanced", E2), Stat_Matrix!$AG$2:$AP$6, 4, FALSE), 0)</f>
        <v/>
      </c>
      <c r="I2" s="37">
        <f>VLOOKUP(C2, Stat_Matrix!$E$2:$N$7, 5, FALSE) + (VLOOKUP(B2, Stat_Matrix!$A$2:$C$5, 3, FALSE) * VLOOKUP(C2, Stat_Matrix!$P$2:$Y$7, 5, FALSE)) + VLOOKUP(IF(ISBLANK(E2), "Balanced", E2), Stat_Matrix!$AG$2:$AP$6, 5, FALSE)</f>
        <v/>
      </c>
      <c r="J2" s="37">
        <f>VLOOKUP(C2, Stat_Matrix!$E$2:$N$7, 8, FALSE) + (VLOOKUP(B2, Stat_Matrix!$A$2:$C$5, 3, FALSE) * VLOOKUP(C2, Stat_Matrix!$P$2:$Y$7, 8, FALSE)) + VLOOKUP(IF(ISBLANK(E2), "Balanced", E2), Stat_Matrix!$AG$2:$AP$6, 8, FALSE)</f>
        <v/>
      </c>
      <c r="K2" s="37">
        <f>VLOOKUP(C2, Stat_Matrix!$E$2:$N$7, 6, FALSE) + (VLOOKUP(B2, Stat_Matrix!$A$2:$C$5, 3, FALSE) * VLOOKUP(C2, Stat_Matrix!$P$2:$Y$7, 6, FALSE)) + VLOOKUP(IF(ISBLANK(E2), "Balanced", E2), Stat_Matrix!$AG$2:$AP$6, 6, FALSE)</f>
        <v/>
      </c>
      <c r="L2" s="37">
        <f>VLOOKUP(C2, Stat_Matrix!$E$2:$N$7, 7, FALSE) + (VLOOKUP(B2, Stat_Matrix!$A$2:$C$5, 3, FALSE) * VLOOKUP(C2, Stat_Matrix!$P$2:$Y$7, 7, FALSE)) + VLOOKUP(IF(ISBLANK(E2), "Balanced", E2), Stat_Matrix!$AG$2:$AP$6, 7, FALSE)</f>
        <v/>
      </c>
      <c r="M2">
        <f>VLOOKUP(C2, Stat_Matrix!$E$2:$N$7, 9, FALSE) + (VLOOKUP(B2, Stat_Matrix!$A$2:$C$5, 3, FALSE) * VLOOKUP(C2, Stat_Matrix!$P$2:$Y$7, 9, FALSE)) + VLOOKUP(IF(ISBLANK(E2), "Balanced", E2), Stat_Matrix!$AG$2:$AP$6, 9, FALSE)</f>
        <v/>
      </c>
      <c r="N2">
        <f>VLOOKUP(C2, Stat_Matrix!$E$2:$N$7, 10, FALSE) + (VLOOKUP(B2, Stat_Matrix!$A$2:$C$5, 3, FALSE) * VLOOKUP(C2, Stat_Matrix!$P$2:$Y$7, 10, FALSE) + VLOOKUP(IF(ISBLANK(D2), "Character", D2), Stat_Matrix!$AA$2:$AE$4, 5, FALSE) + VLOOKUP(IF(ISBLANK(E2), "Balanced", E2), Stat_Matrix!$AG$2:$AP$6, 10, FALSE))</f>
        <v/>
      </c>
    </row>
    <row r="3">
      <c r="A3" t="inlineStr">
        <is>
          <t>TangSanZang</t>
        </is>
      </c>
      <c r="B3" s="17">
        <f>Character!C3</f>
        <v/>
      </c>
      <c r="C3" s="7">
        <f>Character!D3</f>
        <v/>
      </c>
      <c r="D3" s="26">
        <f>Character!E3</f>
        <v/>
      </c>
      <c r="E3" s="37" t="inlineStr">
        <is>
          <t>Balanced</t>
        </is>
      </c>
      <c r="F3" s="37">
        <f>ROUND(VLOOKUP(C3, Stat_Matrix!$E$2:$N$7, 2, FALSE) * VLOOKUP(B3, Stat_Matrix!$A$2:$B$5, 2, FALSE) * VLOOKUP(IF(ISBLANK(D3), "Character", D3), Stat_Matrix!$AA$2:$AD$4, 2, FALSE) * VLOOKUP(IF(ISBLANK(E3), "Balanced", E3), Stat_Matrix!$AG$2:$AP$6, 2, FALSE), 0)</f>
        <v/>
      </c>
      <c r="G3" s="37">
        <f>ROUND(VLOOKUP(C3, Stat_Matrix!$E$2:$N$7, 3, FALSE) * VLOOKUP(B3, Stat_Matrix!$A$2:$B$5, 2, FALSE) * VLOOKUP(IF(ISBLANK(D3), "Character", D3), Stat_Matrix!$AA$2:$AD$4, 3, FALSE) * VLOOKUP(IF(ISBLANK(E3), "Balanced", E3), Stat_Matrix!$AG$2:$AP$6, 3, FALSE), 0)</f>
        <v/>
      </c>
      <c r="H3" s="37">
        <f>ROUND(VLOOKUP(C3, Stat_Matrix!$E$2:$N$7, 4, FALSE) * VLOOKUP(B3, Stat_Matrix!$A$2:$B$5, 2, FALSE) * VLOOKUP(IF(ISBLANK(D3), "Character", D3), Stat_Matrix!$AA$2:$AD$4, 4, FALSE) * VLOOKUP(IF(ISBLANK(E3), "Balanced", E3), Stat_Matrix!$AG$2:$AP$6, 4, FALSE), 0)</f>
        <v/>
      </c>
      <c r="I3" s="37">
        <f>VLOOKUP(C3, Stat_Matrix!$E$2:$N$7, 5, FALSE) + (VLOOKUP(B3, Stat_Matrix!$A$2:$C$5, 3, FALSE) * VLOOKUP(C3, Stat_Matrix!$P$2:$Y$7, 5, FALSE)) + VLOOKUP(IF(ISBLANK(E3), "Balanced", E3), Stat_Matrix!$AG$2:$AP$6, 5, FALSE)</f>
        <v/>
      </c>
      <c r="J3" s="37">
        <f>VLOOKUP(C3, Stat_Matrix!$E$2:$N$7, 8, FALSE) + (VLOOKUP(B3, Stat_Matrix!$A$2:$C$5, 3, FALSE) * VLOOKUP(C3, Stat_Matrix!$P$2:$Y$7, 8, FALSE)) + VLOOKUP(IF(ISBLANK(E3), "Balanced", E3), Stat_Matrix!$AG$2:$AP$6, 8, FALSE)</f>
        <v/>
      </c>
      <c r="K3" s="37">
        <f>VLOOKUP(C3, Stat_Matrix!$E$2:$N$7, 6, FALSE) + (VLOOKUP(B3, Stat_Matrix!$A$2:$C$5, 3, FALSE) * VLOOKUP(C3, Stat_Matrix!$P$2:$Y$7, 6, FALSE)) + VLOOKUP(IF(ISBLANK(E3), "Balanced", E3), Stat_Matrix!$AG$2:$AP$6, 6, FALSE)</f>
        <v/>
      </c>
      <c r="L3" s="37">
        <f>VLOOKUP(C3, Stat_Matrix!$E$2:$N$7, 7, FALSE) + (VLOOKUP(B3, Stat_Matrix!$A$2:$C$5, 3, FALSE) * VLOOKUP(C3, Stat_Matrix!$P$2:$Y$7, 7, FALSE)) + VLOOKUP(IF(ISBLANK(E3), "Balanced", E3), Stat_Matrix!$AG$2:$AP$6, 7, FALSE)</f>
        <v/>
      </c>
      <c r="M3">
        <f>VLOOKUP(C3, Stat_Matrix!$E$2:$N$7, 9, FALSE) + (VLOOKUP(B3, Stat_Matrix!$A$2:$C$5, 3, FALSE) * VLOOKUP(C3, Stat_Matrix!$P$2:$Y$7, 9, FALSE)) + VLOOKUP(IF(ISBLANK(E3), "Balanced", E3), Stat_Matrix!$AG$2:$AP$6, 9, FALSE)</f>
        <v/>
      </c>
      <c r="N3">
        <f>VLOOKUP(C3, Stat_Matrix!$E$2:$N$7, 10, FALSE) + (VLOOKUP(B3, Stat_Matrix!$A$2:$C$5, 3, FALSE) * VLOOKUP(C3, Stat_Matrix!$P$2:$Y$7, 10, FALSE) + VLOOKUP(IF(ISBLANK(D3), "Character", D3), Stat_Matrix!$AA$2:$AE$4, 5, FALSE) + VLOOKUP(IF(ISBLANK(E3), "Balanced", E3), Stat_Matrix!$AG$2:$AP$6, 10, FALSE))</f>
        <v/>
      </c>
    </row>
    <row r="4">
      <c r="A4" t="inlineStr">
        <is>
          <t>ZhuBaJie</t>
        </is>
      </c>
      <c r="B4" s="14">
        <f>Character!C4</f>
        <v/>
      </c>
      <c r="C4" s="40">
        <f>Character!D4</f>
        <v/>
      </c>
      <c r="D4" s="26">
        <f>Character!E4</f>
        <v/>
      </c>
      <c r="E4" s="37" t="inlineStr">
        <is>
          <t>Balanced</t>
        </is>
      </c>
      <c r="F4" s="37">
        <f>ROUND(VLOOKUP(C4, Stat_Matrix!$E$2:$N$7, 2, FALSE) * VLOOKUP(B4, Stat_Matrix!$A$2:$B$5, 2, FALSE) * VLOOKUP(IF(ISBLANK(D4), "Character", D4), Stat_Matrix!$AA$2:$AD$4, 2, FALSE) * VLOOKUP(IF(ISBLANK(E4), "Balanced", E4), Stat_Matrix!$AG$2:$AP$6, 2, FALSE), 0)</f>
        <v/>
      </c>
      <c r="G4" s="37">
        <f>ROUND(VLOOKUP(C4, Stat_Matrix!$E$2:$N$7, 3, FALSE) * VLOOKUP(B4, Stat_Matrix!$A$2:$B$5, 2, FALSE) * VLOOKUP(IF(ISBLANK(D4), "Character", D4), Stat_Matrix!$AA$2:$AD$4, 3, FALSE) * VLOOKUP(IF(ISBLANK(E4), "Balanced", E4), Stat_Matrix!$AG$2:$AP$6, 3, FALSE), 0)</f>
        <v/>
      </c>
      <c r="H4" s="37">
        <f>ROUND(VLOOKUP(C4, Stat_Matrix!$E$2:$N$7, 4, FALSE) * VLOOKUP(B4, Stat_Matrix!$A$2:$B$5, 2, FALSE) * VLOOKUP(IF(ISBLANK(D4), "Character", D4), Stat_Matrix!$AA$2:$AD$4, 4, FALSE) * VLOOKUP(IF(ISBLANK(E4), "Balanced", E4), Stat_Matrix!$AG$2:$AP$6, 4, FALSE), 0)</f>
        <v/>
      </c>
      <c r="I4" s="37">
        <f>VLOOKUP(C4, Stat_Matrix!$E$2:$N$7, 5, FALSE) + (VLOOKUP(B4, Stat_Matrix!$A$2:$C$5, 3, FALSE) * VLOOKUP(C4, Stat_Matrix!$P$2:$Y$7, 5, FALSE)) + VLOOKUP(IF(ISBLANK(E4), "Balanced", E4), Stat_Matrix!$AG$2:$AP$6, 5, FALSE)</f>
        <v/>
      </c>
      <c r="J4" s="37">
        <f>VLOOKUP(C4, Stat_Matrix!$E$2:$N$7, 8, FALSE) + (VLOOKUP(B4, Stat_Matrix!$A$2:$C$5, 3, FALSE) * VLOOKUP(C4, Stat_Matrix!$P$2:$Y$7, 8, FALSE)) + VLOOKUP(IF(ISBLANK(E4), "Balanced", E4), Stat_Matrix!$AG$2:$AP$6, 8, FALSE)</f>
        <v/>
      </c>
      <c r="K4" s="37">
        <f>VLOOKUP(C4, Stat_Matrix!$E$2:$N$7, 6, FALSE) + (VLOOKUP(B4, Stat_Matrix!$A$2:$C$5, 3, FALSE) * VLOOKUP(C4, Stat_Matrix!$P$2:$Y$7, 6, FALSE)) + VLOOKUP(IF(ISBLANK(E4), "Balanced", E4), Stat_Matrix!$AG$2:$AP$6, 6, FALSE)</f>
        <v/>
      </c>
      <c r="L4" s="37">
        <f>VLOOKUP(C4, Stat_Matrix!$E$2:$N$7, 7, FALSE) + (VLOOKUP(B4, Stat_Matrix!$A$2:$C$5, 3, FALSE) * VLOOKUP(C4, Stat_Matrix!$P$2:$Y$7, 7, FALSE)) + VLOOKUP(IF(ISBLANK(E4), "Balanced", E4), Stat_Matrix!$AG$2:$AP$6, 7, FALSE)</f>
        <v/>
      </c>
      <c r="M4">
        <f>VLOOKUP(C4, Stat_Matrix!$E$2:$N$7, 9, FALSE) + (VLOOKUP(B4, Stat_Matrix!$A$2:$C$5, 3, FALSE) * VLOOKUP(C4, Stat_Matrix!$P$2:$Y$7, 9, FALSE)) + VLOOKUP(IF(ISBLANK(E4), "Balanced", E4), Stat_Matrix!$AG$2:$AP$6, 9, FALSE)</f>
        <v/>
      </c>
      <c r="N4">
        <f>VLOOKUP(C4, Stat_Matrix!$E$2:$N$7, 10, FALSE) + (VLOOKUP(B4, Stat_Matrix!$A$2:$C$5, 3, FALSE) * VLOOKUP(C4, Stat_Matrix!$P$2:$Y$7, 10, FALSE) + VLOOKUP(IF(ISBLANK(D4), "Character", D4), Stat_Matrix!$AA$2:$AE$4, 5, FALSE) + VLOOKUP(IF(ISBLANK(E4), "Balanced", E4), Stat_Matrix!$AG$2:$AP$6, 10, FALSE))</f>
        <v/>
      </c>
    </row>
    <row r="5">
      <c r="A5" t="inlineStr">
        <is>
          <t>ShaWujing</t>
        </is>
      </c>
      <c r="B5" s="3">
        <f>Character!C5</f>
        <v/>
      </c>
      <c r="C5" s="40">
        <f>Character!D5</f>
        <v/>
      </c>
      <c r="D5" s="26">
        <f>Character!E5</f>
        <v/>
      </c>
      <c r="E5" s="37" t="inlineStr">
        <is>
          <t>Defensive</t>
        </is>
      </c>
      <c r="F5" s="37">
        <f>ROUND(VLOOKUP(C5, Stat_Matrix!$E$2:$N$7, 2, FALSE) * VLOOKUP(B5, Stat_Matrix!$A$2:$B$5, 2, FALSE) * VLOOKUP(IF(ISBLANK(D5), "Character", D5), Stat_Matrix!$AA$2:$AD$4, 2, FALSE) * VLOOKUP(IF(ISBLANK(E5), "Balanced", E5), Stat_Matrix!$AG$2:$AP$6, 2, FALSE), 0)</f>
        <v/>
      </c>
      <c r="G5" s="37">
        <f>ROUND(VLOOKUP(C5, Stat_Matrix!$E$2:$N$7, 3, FALSE) * VLOOKUP(B5, Stat_Matrix!$A$2:$B$5, 2, FALSE) * VLOOKUP(IF(ISBLANK(D5), "Character", D5), Stat_Matrix!$AA$2:$AD$4, 3, FALSE) * VLOOKUP(IF(ISBLANK(E5), "Balanced", E5), Stat_Matrix!$AG$2:$AP$6, 3, FALSE), 0)</f>
        <v/>
      </c>
      <c r="H5" s="37">
        <f>ROUND(VLOOKUP(C5, Stat_Matrix!$E$2:$N$7, 4, FALSE) * VLOOKUP(B5, Stat_Matrix!$A$2:$B$5, 2, FALSE) * VLOOKUP(IF(ISBLANK(D5), "Character", D5), Stat_Matrix!$AA$2:$AD$4, 4, FALSE) * VLOOKUP(IF(ISBLANK(E5), "Balanced", E5), Stat_Matrix!$AG$2:$AP$6, 4, FALSE), 0)</f>
        <v/>
      </c>
      <c r="I5" s="37">
        <f>VLOOKUP(C5, Stat_Matrix!$E$2:$N$7, 5, FALSE) + (VLOOKUP(B5, Stat_Matrix!$A$2:$C$5, 3, FALSE) * VLOOKUP(C5, Stat_Matrix!$P$2:$Y$7, 5, FALSE)) + VLOOKUP(IF(ISBLANK(E5), "Balanced", E5), Stat_Matrix!$AG$2:$AP$6, 5, FALSE)</f>
        <v/>
      </c>
      <c r="J5" s="37">
        <f>VLOOKUP(C5, Stat_Matrix!$E$2:$N$7, 8, FALSE) + (VLOOKUP(B5, Stat_Matrix!$A$2:$C$5, 3, FALSE) * VLOOKUP(C5, Stat_Matrix!$P$2:$Y$7, 8, FALSE)) + VLOOKUP(IF(ISBLANK(E5), "Balanced", E5), Stat_Matrix!$AG$2:$AP$6, 8, FALSE)</f>
        <v/>
      </c>
      <c r="K5" s="37">
        <f>VLOOKUP(C5, Stat_Matrix!$E$2:$N$7, 6, FALSE) + (VLOOKUP(B5, Stat_Matrix!$A$2:$C$5, 3, FALSE) * VLOOKUP(C5, Stat_Matrix!$P$2:$Y$7, 6, FALSE)) + VLOOKUP(IF(ISBLANK(E5), "Balanced", E5), Stat_Matrix!$AG$2:$AP$6, 6, FALSE)</f>
        <v/>
      </c>
      <c r="L5" s="37">
        <f>VLOOKUP(C5, Stat_Matrix!$E$2:$N$7, 7, FALSE) + (VLOOKUP(B5, Stat_Matrix!$A$2:$C$5, 3, FALSE) * VLOOKUP(C5, Stat_Matrix!$P$2:$Y$7, 7, FALSE)) + VLOOKUP(IF(ISBLANK(E5), "Balanced", E5), Stat_Matrix!$AG$2:$AP$6, 7, FALSE)</f>
        <v/>
      </c>
      <c r="M5">
        <f>VLOOKUP(C5, Stat_Matrix!$E$2:$N$7, 9, FALSE) + (VLOOKUP(B5, Stat_Matrix!$A$2:$C$5, 3, FALSE) * VLOOKUP(C5, Stat_Matrix!$P$2:$Y$7, 9, FALSE)) + VLOOKUP(IF(ISBLANK(E5), "Balanced", E5), Stat_Matrix!$AG$2:$AP$6, 9, FALSE)</f>
        <v/>
      </c>
      <c r="N5">
        <f>VLOOKUP(C5, Stat_Matrix!$E$2:$N$7, 10, FALSE) + (VLOOKUP(B5, Stat_Matrix!$A$2:$C$5, 3, FALSE) * VLOOKUP(C5, Stat_Matrix!$P$2:$Y$7, 10, FALSE) + VLOOKUP(IF(ISBLANK(D5), "Character", D5), Stat_Matrix!$AA$2:$AE$4, 5, FALSE) + VLOOKUP(IF(ISBLANK(E5), "Balanced", E5), Stat_Matrix!$AG$2:$AP$6, 10, FALSE))</f>
        <v/>
      </c>
    </row>
    <row r="6">
      <c r="A6" s="23" t="inlineStr">
        <is>
          <t>DragonKing</t>
        </is>
      </c>
      <c r="B6" s="3">
        <f>Character!C6</f>
        <v/>
      </c>
      <c r="C6" s="32">
        <f>Character!D6</f>
        <v/>
      </c>
      <c r="D6" s="26">
        <f>Character!E6</f>
        <v/>
      </c>
      <c r="E6" s="37" t="inlineStr">
        <is>
          <t>Defensive</t>
        </is>
      </c>
      <c r="F6" s="37">
        <f>ROUND(VLOOKUP(C6, Stat_Matrix!$E$2:$N$7, 2, FALSE) * VLOOKUP(B6, Stat_Matrix!$A$2:$B$5, 2, FALSE) * VLOOKUP(IF(ISBLANK(D6), "Character", D6), Stat_Matrix!$AA$2:$AD$4, 2, FALSE) * VLOOKUP(IF(ISBLANK(E6), "Balanced", E6), Stat_Matrix!$AG$2:$AP$6, 2, FALSE), 0)</f>
        <v/>
      </c>
      <c r="G6" s="37">
        <f>ROUND(VLOOKUP(C6, Stat_Matrix!$E$2:$N$7, 3, FALSE) * VLOOKUP(B6, Stat_Matrix!$A$2:$B$5, 2, FALSE) * VLOOKUP(IF(ISBLANK(D6), "Character", D6), Stat_Matrix!$AA$2:$AD$4, 3, FALSE) * VLOOKUP(IF(ISBLANK(E6), "Balanced", E6), Stat_Matrix!$AG$2:$AP$6, 3, FALSE), 0)</f>
        <v/>
      </c>
      <c r="H6" s="37">
        <f>ROUND(VLOOKUP(C6, Stat_Matrix!$E$2:$N$7, 4, FALSE) * VLOOKUP(B6, Stat_Matrix!$A$2:$B$5, 2, FALSE) * VLOOKUP(IF(ISBLANK(D6), "Character", D6), Stat_Matrix!$AA$2:$AD$4, 4, FALSE) * VLOOKUP(IF(ISBLANK(E6), "Balanced", E6), Stat_Matrix!$AG$2:$AP$6, 4, FALSE), 0)</f>
        <v/>
      </c>
      <c r="I6" s="37">
        <f>VLOOKUP(C6, Stat_Matrix!$E$2:$N$7, 5, FALSE) + (VLOOKUP(B6, Stat_Matrix!$A$2:$C$5, 3, FALSE) * VLOOKUP(C6, Stat_Matrix!$P$2:$Y$7, 5, FALSE)) + VLOOKUP(IF(ISBLANK(E6), "Balanced", E6), Stat_Matrix!$AG$2:$AP$6, 5, FALSE)</f>
        <v/>
      </c>
      <c r="J6" s="37">
        <f>VLOOKUP(C6, Stat_Matrix!$E$2:$N$7, 8, FALSE) + (VLOOKUP(B6, Stat_Matrix!$A$2:$C$5, 3, FALSE) * VLOOKUP(C6, Stat_Matrix!$P$2:$Y$7, 8, FALSE)) + VLOOKUP(IF(ISBLANK(E6), "Balanced", E6), Stat_Matrix!$AG$2:$AP$6, 8, FALSE)</f>
        <v/>
      </c>
      <c r="K6" s="37">
        <f>VLOOKUP(C6, Stat_Matrix!$E$2:$N$7, 6, FALSE) + (VLOOKUP(B6, Stat_Matrix!$A$2:$C$5, 3, FALSE) * VLOOKUP(C6, Stat_Matrix!$P$2:$Y$7, 6, FALSE)) + VLOOKUP(IF(ISBLANK(E6), "Balanced", E6), Stat_Matrix!$AG$2:$AP$6, 6, FALSE)</f>
        <v/>
      </c>
      <c r="L6" s="37">
        <f>VLOOKUP(C6, Stat_Matrix!$E$2:$N$7, 7, FALSE) + (VLOOKUP(B6, Stat_Matrix!$A$2:$C$5, 3, FALSE) * VLOOKUP(C6, Stat_Matrix!$P$2:$Y$7, 7, FALSE)) + VLOOKUP(IF(ISBLANK(E6), "Balanced", E6), Stat_Matrix!$AG$2:$AP$6, 7, FALSE)</f>
        <v/>
      </c>
      <c r="M6">
        <f>VLOOKUP(C6, Stat_Matrix!$E$2:$N$7, 9, FALSE) + (VLOOKUP(B6, Stat_Matrix!$A$2:$C$5, 3, FALSE) * VLOOKUP(C6, Stat_Matrix!$P$2:$Y$7, 9, FALSE)) + VLOOKUP(IF(ISBLANK(E6), "Balanced", E6), Stat_Matrix!$AG$2:$AP$6, 9, FALSE)</f>
        <v/>
      </c>
      <c r="N6">
        <f>VLOOKUP(C6, Stat_Matrix!$E$2:$N$7, 10, FALSE) + (VLOOKUP(B6, Stat_Matrix!$A$2:$C$5, 3, FALSE) * VLOOKUP(C6, Stat_Matrix!$P$2:$Y$7, 10, FALSE) + VLOOKUP(IF(ISBLANK(D6), "Character", D6), Stat_Matrix!$AA$2:$AE$4, 5, FALSE) + VLOOKUP(IF(ISBLANK(E6), "Balanced", E6), Stat_Matrix!$AG$2:$AP$6, 10, FALSE))</f>
        <v/>
      </c>
    </row>
    <row r="7">
      <c r="A7" t="inlineStr">
        <is>
          <t>ThirdPrinceNezha</t>
        </is>
      </c>
      <c r="B7" s="14">
        <f>Character!C7</f>
        <v/>
      </c>
      <c r="C7" s="25">
        <f>Character!D7</f>
        <v/>
      </c>
      <c r="D7" s="26">
        <f>Character!E7</f>
        <v/>
      </c>
      <c r="E7" s="37" t="inlineStr">
        <is>
          <t>Offensive</t>
        </is>
      </c>
      <c r="F7" s="37">
        <f>ROUND(VLOOKUP(C7, Stat_Matrix!$E$2:$N$7, 2, FALSE) * VLOOKUP(B7, Stat_Matrix!$A$2:$B$5, 2, FALSE) * VLOOKUP(IF(ISBLANK(D7), "Character", D7), Stat_Matrix!$AA$2:$AD$4, 2, FALSE) * VLOOKUP(IF(ISBLANK(E7), "Balanced", E7), Stat_Matrix!$AG$2:$AP$6, 2, FALSE), 0)</f>
        <v/>
      </c>
      <c r="G7" s="37">
        <f>ROUND(VLOOKUP(C7, Stat_Matrix!$E$2:$N$7, 3, FALSE) * VLOOKUP(B7, Stat_Matrix!$A$2:$B$5, 2, FALSE) * VLOOKUP(IF(ISBLANK(D7), "Character", D7), Stat_Matrix!$AA$2:$AD$4, 3, FALSE) * VLOOKUP(IF(ISBLANK(E7), "Balanced", E7), Stat_Matrix!$AG$2:$AP$6, 3, FALSE), 0)</f>
        <v/>
      </c>
      <c r="H7" s="37">
        <f>ROUND(VLOOKUP(C7, Stat_Matrix!$E$2:$N$7, 4, FALSE) * VLOOKUP(B7, Stat_Matrix!$A$2:$B$5, 2, FALSE) * VLOOKUP(IF(ISBLANK(D7), "Character", D7), Stat_Matrix!$AA$2:$AD$4, 4, FALSE) * VLOOKUP(IF(ISBLANK(E7), "Balanced", E7), Stat_Matrix!$AG$2:$AP$6, 4, FALSE), 0)</f>
        <v/>
      </c>
      <c r="I7" s="37">
        <f>VLOOKUP(C7, Stat_Matrix!$E$2:$N$7, 5, FALSE) + (VLOOKUP(B7, Stat_Matrix!$A$2:$C$5, 3, FALSE) * VLOOKUP(C7, Stat_Matrix!$P$2:$Y$7, 5, FALSE)) + VLOOKUP(IF(ISBLANK(E7), "Balanced", E7), Stat_Matrix!$AG$2:$AP$6, 5, FALSE)</f>
        <v/>
      </c>
      <c r="J7" s="37">
        <f>VLOOKUP(C7, Stat_Matrix!$E$2:$N$7, 8, FALSE) + (VLOOKUP(B7, Stat_Matrix!$A$2:$C$5, 3, FALSE) * VLOOKUP(C7, Stat_Matrix!$P$2:$Y$7, 8, FALSE)) + VLOOKUP(IF(ISBLANK(E7), "Balanced", E7), Stat_Matrix!$AG$2:$AP$6, 8, FALSE)</f>
        <v/>
      </c>
      <c r="K7" s="37">
        <f>VLOOKUP(C7, Stat_Matrix!$E$2:$N$7, 6, FALSE) + (VLOOKUP(B7, Stat_Matrix!$A$2:$C$5, 3, FALSE) * VLOOKUP(C7, Stat_Matrix!$P$2:$Y$7, 6, FALSE)) + VLOOKUP(IF(ISBLANK(E7), "Balanced", E7), Stat_Matrix!$AG$2:$AP$6, 6, FALSE)</f>
        <v/>
      </c>
      <c r="L7" s="37">
        <f>VLOOKUP(C7, Stat_Matrix!$E$2:$N$7, 7, FALSE) + (VLOOKUP(B7, Stat_Matrix!$A$2:$C$5, 3, FALSE) * VLOOKUP(C7, Stat_Matrix!$P$2:$Y$7, 7, FALSE)) + VLOOKUP(IF(ISBLANK(E7), "Balanced", E7), Stat_Matrix!$AG$2:$AP$6, 7, FALSE)</f>
        <v/>
      </c>
      <c r="M7">
        <f>VLOOKUP(C7, Stat_Matrix!$E$2:$N$7, 9, FALSE) + (VLOOKUP(B7, Stat_Matrix!$A$2:$C$5, 3, FALSE) * VLOOKUP(C7, Stat_Matrix!$P$2:$Y$7, 9, FALSE)) + VLOOKUP(IF(ISBLANK(E7), "Balanced", E7), Stat_Matrix!$AG$2:$AP$6, 9, FALSE)</f>
        <v/>
      </c>
      <c r="N7">
        <f>VLOOKUP(C7, Stat_Matrix!$E$2:$N$7, 10, FALSE) + (VLOOKUP(B7, Stat_Matrix!$A$2:$C$5, 3, FALSE) * VLOOKUP(C7, Stat_Matrix!$P$2:$Y$7, 10, FALSE) + VLOOKUP(IF(ISBLANK(D7), "Character", D7), Stat_Matrix!$AA$2:$AE$4, 5, FALSE) + VLOOKUP(IF(ISBLANK(E7), "Balanced", E7), Stat_Matrix!$AG$2:$AP$6, 10, FALSE))</f>
        <v/>
      </c>
    </row>
    <row r="8">
      <c r="A8" t="inlineStr">
        <is>
          <t>LittleWhiteDragon</t>
        </is>
      </c>
      <c r="B8" s="3">
        <f>Character!C8</f>
        <v/>
      </c>
      <c r="C8" s="7">
        <f>Character!D8</f>
        <v/>
      </c>
      <c r="D8" s="26">
        <f>Character!E8</f>
        <v/>
      </c>
      <c r="E8" s="37" t="inlineStr">
        <is>
          <t>Swift</t>
        </is>
      </c>
      <c r="F8" s="37">
        <f>ROUND(VLOOKUP(C8, Stat_Matrix!$E$2:$N$7, 2, FALSE) * VLOOKUP(B8, Stat_Matrix!$A$2:$B$5, 2, FALSE) * VLOOKUP(IF(ISBLANK(D8), "Character", D8), Stat_Matrix!$AA$2:$AD$4, 2, FALSE) * VLOOKUP(IF(ISBLANK(E8), "Balanced", E8), Stat_Matrix!$AG$2:$AP$6, 2, FALSE), 0)</f>
        <v/>
      </c>
      <c r="G8" s="37">
        <f>ROUND(VLOOKUP(C8, Stat_Matrix!$E$2:$N$7, 3, FALSE) * VLOOKUP(B8, Stat_Matrix!$A$2:$B$5, 2, FALSE) * VLOOKUP(IF(ISBLANK(D8), "Character", D8), Stat_Matrix!$AA$2:$AD$4, 3, FALSE) * VLOOKUP(IF(ISBLANK(E8), "Balanced", E8), Stat_Matrix!$AG$2:$AP$6, 3, FALSE), 0)</f>
        <v/>
      </c>
      <c r="H8" s="37">
        <f>ROUND(VLOOKUP(C8, Stat_Matrix!$E$2:$N$7, 4, FALSE) * VLOOKUP(B8, Stat_Matrix!$A$2:$B$5, 2, FALSE) * VLOOKUP(IF(ISBLANK(D8), "Character", D8), Stat_Matrix!$AA$2:$AD$4, 4, FALSE) * VLOOKUP(IF(ISBLANK(E8), "Balanced", E8), Stat_Matrix!$AG$2:$AP$6, 4, FALSE), 0)</f>
        <v/>
      </c>
      <c r="I8" s="37">
        <f>VLOOKUP(C8, Stat_Matrix!$E$2:$N$7, 5, FALSE) + (VLOOKUP(B8, Stat_Matrix!$A$2:$C$5, 3, FALSE) * VLOOKUP(C8, Stat_Matrix!$P$2:$Y$7, 5, FALSE)) + VLOOKUP(IF(ISBLANK(E8), "Balanced", E8), Stat_Matrix!$AG$2:$AP$6, 5, FALSE)</f>
        <v/>
      </c>
      <c r="J8" s="37">
        <f>VLOOKUP(C8, Stat_Matrix!$E$2:$N$7, 8, FALSE) + (VLOOKUP(B8, Stat_Matrix!$A$2:$C$5, 3, FALSE) * VLOOKUP(C8, Stat_Matrix!$P$2:$Y$7, 8, FALSE)) + VLOOKUP(IF(ISBLANK(E8), "Balanced", E8), Stat_Matrix!$AG$2:$AP$6, 8, FALSE)</f>
        <v/>
      </c>
      <c r="K8" s="37">
        <f>VLOOKUP(C8, Stat_Matrix!$E$2:$N$7, 6, FALSE) + (VLOOKUP(B8, Stat_Matrix!$A$2:$C$5, 3, FALSE) * VLOOKUP(C8, Stat_Matrix!$P$2:$Y$7, 6, FALSE)) + VLOOKUP(IF(ISBLANK(E8), "Balanced", E8), Stat_Matrix!$AG$2:$AP$6, 6, FALSE)</f>
        <v/>
      </c>
      <c r="L8" s="37">
        <f>VLOOKUP(C8, Stat_Matrix!$E$2:$N$7, 7, FALSE) + (VLOOKUP(B8, Stat_Matrix!$A$2:$C$5, 3, FALSE) * VLOOKUP(C8, Stat_Matrix!$P$2:$Y$7, 7, FALSE)) + VLOOKUP(IF(ISBLANK(E8), "Balanced", E8), Stat_Matrix!$AG$2:$AP$6, 7, FALSE)</f>
        <v/>
      </c>
      <c r="M8">
        <f>VLOOKUP(C8, Stat_Matrix!$E$2:$N$7, 9, FALSE) + (VLOOKUP(B8, Stat_Matrix!$A$2:$C$5, 3, FALSE) * VLOOKUP(C8, Stat_Matrix!$P$2:$Y$7, 9, FALSE)) + VLOOKUP(IF(ISBLANK(E8), "Balanced", E8), Stat_Matrix!$AG$2:$AP$6, 9, FALSE)</f>
        <v/>
      </c>
      <c r="N8">
        <f>VLOOKUP(C8, Stat_Matrix!$E$2:$N$7, 10, FALSE) + (VLOOKUP(B8, Stat_Matrix!$A$2:$C$5, 3, FALSE) * VLOOKUP(C8, Stat_Matrix!$P$2:$Y$7, 10, FALSE) + VLOOKUP(IF(ISBLANK(D8), "Character", D8), Stat_Matrix!$AA$2:$AE$4, 5, FALSE) + VLOOKUP(IF(ISBLANK(E8), "Balanced", E8), Stat_Matrix!$AG$2:$AP$6, 10, FALSE))</f>
        <v/>
      </c>
    </row>
    <row r="9">
      <c r="A9" t="inlineStr">
        <is>
          <t>BullDemonKing</t>
        </is>
      </c>
      <c r="B9" s="2">
        <f>Character!C9</f>
        <v/>
      </c>
      <c r="C9" s="40">
        <f>Character!D9</f>
        <v/>
      </c>
      <c r="D9" s="26">
        <f>Character!E9</f>
        <v/>
      </c>
      <c r="E9" s="37" t="inlineStr">
        <is>
          <t>Defensive</t>
        </is>
      </c>
      <c r="F9" s="37">
        <f>ROUND(VLOOKUP(C9, Stat_Matrix!$E$2:$N$7, 2, FALSE) * VLOOKUP(B9, Stat_Matrix!$A$2:$B$5, 2, FALSE) * VLOOKUP(IF(ISBLANK(D9), "Character", D9), Stat_Matrix!$AA$2:$AD$4, 2, FALSE) * VLOOKUP(IF(ISBLANK(E9), "Balanced", E9), Stat_Matrix!$AG$2:$AP$6, 2, FALSE), 0)</f>
        <v/>
      </c>
      <c r="G9" s="37">
        <f>ROUND(VLOOKUP(C9, Stat_Matrix!$E$2:$N$7, 3, FALSE) * VLOOKUP(B9, Stat_Matrix!$A$2:$B$5, 2, FALSE) * VLOOKUP(IF(ISBLANK(D9), "Character", D9), Stat_Matrix!$AA$2:$AD$4, 3, FALSE) * VLOOKUP(IF(ISBLANK(E9), "Balanced", E9), Stat_Matrix!$AG$2:$AP$6, 3, FALSE), 0)</f>
        <v/>
      </c>
      <c r="H9" s="37">
        <f>ROUND(VLOOKUP(C9, Stat_Matrix!$E$2:$N$7, 4, FALSE) * VLOOKUP(B9, Stat_Matrix!$A$2:$B$5, 2, FALSE) * VLOOKUP(IF(ISBLANK(D9), "Character", D9), Stat_Matrix!$AA$2:$AD$4, 4, FALSE) * VLOOKUP(IF(ISBLANK(E9), "Balanced", E9), Stat_Matrix!$AG$2:$AP$6, 4, FALSE), 0)</f>
        <v/>
      </c>
      <c r="I9" s="37">
        <f>VLOOKUP(C9, Stat_Matrix!$E$2:$N$7, 5, FALSE) + (VLOOKUP(B9, Stat_Matrix!$A$2:$C$5, 3, FALSE) * VLOOKUP(C9, Stat_Matrix!$P$2:$Y$7, 5, FALSE)) + VLOOKUP(IF(ISBLANK(E9), "Balanced", E9), Stat_Matrix!$AG$2:$AP$6, 5, FALSE)</f>
        <v/>
      </c>
      <c r="J9" s="37">
        <f>VLOOKUP(C9, Stat_Matrix!$E$2:$N$7, 8, FALSE) + (VLOOKUP(B9, Stat_Matrix!$A$2:$C$5, 3, FALSE) * VLOOKUP(C9, Stat_Matrix!$P$2:$Y$7, 8, FALSE)) + VLOOKUP(IF(ISBLANK(E9), "Balanced", E9), Stat_Matrix!$AG$2:$AP$6, 8, FALSE)</f>
        <v/>
      </c>
      <c r="K9" s="37">
        <f>VLOOKUP(C9, Stat_Matrix!$E$2:$N$7, 6, FALSE) + (VLOOKUP(B9, Stat_Matrix!$A$2:$C$5, 3, FALSE) * VLOOKUP(C9, Stat_Matrix!$P$2:$Y$7, 6, FALSE)) + VLOOKUP(IF(ISBLANK(E9), "Balanced", E9), Stat_Matrix!$AG$2:$AP$6, 6, FALSE)</f>
        <v/>
      </c>
      <c r="L9" s="37">
        <f>VLOOKUP(C9, Stat_Matrix!$E$2:$N$7, 7, FALSE) + (VLOOKUP(B9, Stat_Matrix!$A$2:$C$5, 3, FALSE) * VLOOKUP(C9, Stat_Matrix!$P$2:$Y$7, 7, FALSE)) + VLOOKUP(IF(ISBLANK(E9), "Balanced", E9), Stat_Matrix!$AG$2:$AP$6, 7, FALSE)</f>
        <v/>
      </c>
      <c r="M9">
        <f>VLOOKUP(C9, Stat_Matrix!$E$2:$N$7, 9, FALSE) + (VLOOKUP(B9, Stat_Matrix!$A$2:$C$5, 3, FALSE) * VLOOKUP(C9, Stat_Matrix!$P$2:$Y$7, 9, FALSE)) + VLOOKUP(IF(ISBLANK(E9), "Balanced", E9), Stat_Matrix!$AG$2:$AP$6, 9, FALSE)</f>
        <v/>
      </c>
      <c r="N9">
        <f>VLOOKUP(C9, Stat_Matrix!$E$2:$N$7, 10, FALSE) + (VLOOKUP(B9, Stat_Matrix!$A$2:$C$5, 3, FALSE) * VLOOKUP(C9, Stat_Matrix!$P$2:$Y$7, 10, FALSE) + VLOOKUP(IF(ISBLANK(D9), "Character", D9), Stat_Matrix!$AA$2:$AE$4, 5, FALSE) + VLOOKUP(IF(ISBLANK(E9), "Balanced", E9), Stat_Matrix!$AG$2:$AP$6, 10, FALSE))</f>
        <v/>
      </c>
    </row>
    <row r="10">
      <c r="A10" t="inlineStr">
        <is>
          <t>ErlangShen</t>
        </is>
      </c>
      <c r="B10" s="2">
        <f>Character!C10</f>
        <v/>
      </c>
      <c r="C10" s="8">
        <f>Character!D10</f>
        <v/>
      </c>
      <c r="D10" s="26">
        <f>Character!E10</f>
        <v/>
      </c>
      <c r="E10" s="37" t="inlineStr">
        <is>
          <t>Balanced</t>
        </is>
      </c>
      <c r="F10" s="37">
        <f>ROUND(VLOOKUP(C10, Stat_Matrix!$E$2:$N$7, 2, FALSE) * VLOOKUP(B10, Stat_Matrix!$A$2:$B$5, 2, FALSE) * VLOOKUP(IF(ISBLANK(D10), "Character", D10), Stat_Matrix!$AA$2:$AD$4, 2, FALSE) * VLOOKUP(IF(ISBLANK(E10), "Balanced", E10), Stat_Matrix!$AG$2:$AP$6, 2, FALSE), 0)</f>
        <v/>
      </c>
      <c r="G10" s="37">
        <f>ROUND(VLOOKUP(C10, Stat_Matrix!$E$2:$N$7, 3, FALSE) * VLOOKUP(B10, Stat_Matrix!$A$2:$B$5, 2, FALSE) * VLOOKUP(IF(ISBLANK(D10), "Character", D10), Stat_Matrix!$AA$2:$AD$4, 3, FALSE) * VLOOKUP(IF(ISBLANK(E10), "Balanced", E10), Stat_Matrix!$AG$2:$AP$6, 3, FALSE), 0)</f>
        <v/>
      </c>
      <c r="H10" s="37">
        <f>ROUND(VLOOKUP(C10, Stat_Matrix!$E$2:$N$7, 4, FALSE) * VLOOKUP(B10, Stat_Matrix!$A$2:$B$5, 2, FALSE) * VLOOKUP(IF(ISBLANK(D10), "Character", D10), Stat_Matrix!$AA$2:$AD$4, 4, FALSE) * VLOOKUP(IF(ISBLANK(E10), "Balanced", E10), Stat_Matrix!$AG$2:$AP$6, 4, FALSE), 0)</f>
        <v/>
      </c>
      <c r="I10" s="37">
        <f>VLOOKUP(C10, Stat_Matrix!$E$2:$N$7, 5, FALSE) + (VLOOKUP(B10, Stat_Matrix!$A$2:$C$5, 3, FALSE) * VLOOKUP(C10, Stat_Matrix!$P$2:$Y$7, 5, FALSE)) + VLOOKUP(IF(ISBLANK(E10), "Balanced", E10), Stat_Matrix!$AG$2:$AP$6, 5, FALSE)</f>
        <v/>
      </c>
      <c r="J10" s="37">
        <f>VLOOKUP(C10, Stat_Matrix!$E$2:$N$7, 8, FALSE) + (VLOOKUP(B10, Stat_Matrix!$A$2:$C$5, 3, FALSE) * VLOOKUP(C10, Stat_Matrix!$P$2:$Y$7, 8, FALSE)) + VLOOKUP(IF(ISBLANK(E10), "Balanced", E10), Stat_Matrix!$AG$2:$AP$6, 8, FALSE)</f>
        <v/>
      </c>
      <c r="K10" s="37" t="n">
        <v>12</v>
      </c>
      <c r="L10" s="37">
        <f>VLOOKUP(C10, Stat_Matrix!$E$2:$N$7, 7, FALSE) + (VLOOKUP(B10, Stat_Matrix!$A$2:$C$5, 3, FALSE) * VLOOKUP(C10, Stat_Matrix!$P$2:$Y$7, 7, FALSE)) + VLOOKUP(IF(ISBLANK(E10), "Balanced", E10), Stat_Matrix!$AG$2:$AP$6, 7, FALSE)</f>
        <v/>
      </c>
      <c r="M10">
        <f>VLOOKUP(C10, Stat_Matrix!$E$2:$N$7, 9, FALSE) + (VLOOKUP(B10, Stat_Matrix!$A$2:$C$5, 3, FALSE) * VLOOKUP(C10, Stat_Matrix!$P$2:$Y$7, 9, FALSE)) + VLOOKUP(IF(ISBLANK(E10), "Balanced", E10), Stat_Matrix!$AG$2:$AP$6, 9, FALSE)</f>
        <v/>
      </c>
      <c r="N10">
        <f>VLOOKUP(C10, Stat_Matrix!$E$2:$N$7, 10, FALSE) + (VLOOKUP(B10, Stat_Matrix!$A$2:$C$5, 3, FALSE) * VLOOKUP(C10, Stat_Matrix!$P$2:$Y$7, 10, FALSE) + VLOOKUP(IF(ISBLANK(D10), "Character", D10), Stat_Matrix!$AA$2:$AE$4, 5, FALSE) + VLOOKUP(IF(ISBLANK(E10), "Balanced", E10), Stat_Matrix!$AG$2:$AP$6, 10, FALSE))</f>
        <v/>
      </c>
    </row>
    <row r="11">
      <c r="A11" s="23" t="inlineStr">
        <is>
          <t>GuanyinBodhisattva</t>
        </is>
      </c>
      <c r="B11" s="2">
        <f>Character!C11</f>
        <v/>
      </c>
      <c r="C11" s="25">
        <f>Character!D11</f>
        <v/>
      </c>
      <c r="D11" s="26">
        <f>Character!E11</f>
        <v/>
      </c>
      <c r="E11" s="37" t="inlineStr">
        <is>
          <t>Balanced</t>
        </is>
      </c>
      <c r="F11" s="37">
        <f>ROUND(VLOOKUP(C11, Stat_Matrix!$E$2:$N$7, 2, FALSE) * VLOOKUP(B11, Stat_Matrix!$A$2:$B$5, 2, FALSE) * VLOOKUP(IF(ISBLANK(D11), "Character", D11), Stat_Matrix!$AA$2:$AD$4, 2, FALSE) * VLOOKUP(IF(ISBLANK(E11), "Balanced", E11), Stat_Matrix!$AG$2:$AP$6, 2, FALSE), 0)</f>
        <v/>
      </c>
      <c r="G11" s="37">
        <f>ROUND(VLOOKUP(C11, Stat_Matrix!$E$2:$N$7, 3, FALSE) * VLOOKUP(B11, Stat_Matrix!$A$2:$B$5, 2, FALSE) * VLOOKUP(IF(ISBLANK(D11), "Character", D11), Stat_Matrix!$AA$2:$AD$4, 3, FALSE) * VLOOKUP(IF(ISBLANK(E11), "Balanced", E11), Stat_Matrix!$AG$2:$AP$6, 3, FALSE), 0)</f>
        <v/>
      </c>
      <c r="H11" s="37">
        <f>ROUND(VLOOKUP(C11, Stat_Matrix!$E$2:$N$7, 4, FALSE) * VLOOKUP(B11, Stat_Matrix!$A$2:$B$5, 2, FALSE) * VLOOKUP(IF(ISBLANK(D11), "Character", D11), Stat_Matrix!$AA$2:$AD$4, 4, FALSE) * VLOOKUP(IF(ISBLANK(E11), "Balanced", E11), Stat_Matrix!$AG$2:$AP$6, 4, FALSE), 0)</f>
        <v/>
      </c>
      <c r="I11" s="37">
        <f>VLOOKUP(C11, Stat_Matrix!$E$2:$N$7, 5, FALSE) + (VLOOKUP(B11, Stat_Matrix!$A$2:$C$5, 3, FALSE) * VLOOKUP(C11, Stat_Matrix!$P$2:$Y$7, 5, FALSE)) + VLOOKUP(IF(ISBLANK(E11), "Balanced", E11), Stat_Matrix!$AG$2:$AP$6, 5, FALSE)</f>
        <v/>
      </c>
      <c r="J11" s="37">
        <f>VLOOKUP(C11, Stat_Matrix!$E$2:$N$7, 8, FALSE) + (VLOOKUP(B11, Stat_Matrix!$A$2:$C$5, 3, FALSE) * VLOOKUP(C11, Stat_Matrix!$P$2:$Y$7, 8, FALSE)) + VLOOKUP(IF(ISBLANK(E11), "Balanced", E11), Stat_Matrix!$AG$2:$AP$6, 8, FALSE)</f>
        <v/>
      </c>
      <c r="K11" s="37">
        <f>VLOOKUP(C11, Stat_Matrix!$E$2:$N$7, 6, FALSE) + (VLOOKUP(B11, Stat_Matrix!$A$2:$C$5, 3, FALSE) * VLOOKUP(C11, Stat_Matrix!$P$2:$Y$7, 6, FALSE)) + VLOOKUP(IF(ISBLANK(E11), "Balanced", E11), Stat_Matrix!$AG$2:$AP$6, 6, FALSE)</f>
        <v/>
      </c>
      <c r="L11" s="37">
        <f>VLOOKUP(C11, Stat_Matrix!$E$2:$N$7, 7, FALSE) + (VLOOKUP(B11, Stat_Matrix!$A$2:$C$5, 3, FALSE) * VLOOKUP(C11, Stat_Matrix!$P$2:$Y$7, 7, FALSE)) + VLOOKUP(IF(ISBLANK(E11), "Balanced", E11), Stat_Matrix!$AG$2:$AP$6, 7, FALSE)</f>
        <v/>
      </c>
      <c r="M11">
        <f>VLOOKUP(C11, Stat_Matrix!$E$2:$N$7, 9, FALSE) + (VLOOKUP(B11, Stat_Matrix!$A$2:$C$5, 3, FALSE) * VLOOKUP(C11, Stat_Matrix!$P$2:$Y$7, 9, FALSE)) + VLOOKUP(IF(ISBLANK(E11), "Balanced", E11), Stat_Matrix!$AG$2:$AP$6, 9, FALSE)</f>
        <v/>
      </c>
      <c r="N11">
        <f>VLOOKUP(C11, Stat_Matrix!$E$2:$N$7, 10, FALSE) + (VLOOKUP(B11, Stat_Matrix!$A$2:$C$5, 3, FALSE) * VLOOKUP(C11, Stat_Matrix!$P$2:$Y$7, 10, FALSE) + VLOOKUP(IF(ISBLANK(D11), "Character", D11), Stat_Matrix!$AA$2:$AE$4, 5, FALSE) + VLOOKUP(IF(ISBLANK(E11), "Balanced", E11), Stat_Matrix!$AG$2:$AP$6, 10, FALSE))</f>
        <v/>
      </c>
    </row>
    <row r="12">
      <c r="A12" s="11" t="inlineStr">
        <is>
          <t>VanguardTiger</t>
        </is>
      </c>
      <c r="B12" s="17">
        <f>Character!C12</f>
        <v/>
      </c>
      <c r="C12" s="8">
        <f>Character!D12</f>
        <v/>
      </c>
      <c r="D12" s="7">
        <f>Character!E12</f>
        <v/>
      </c>
      <c r="E12" s="37" t="inlineStr">
        <is>
          <t>Offensive</t>
        </is>
      </c>
      <c r="F12" s="37">
        <f>ROUND(VLOOKUP(C12, Stat_Matrix!$E$2:$N$7, 2, FALSE) * VLOOKUP(B12, Stat_Matrix!$A$2:$B$5, 2, FALSE) * VLOOKUP(IF(ISBLANK(D12), "Character", D12), Stat_Matrix!$AA$2:$AD$4, 2, FALSE) * VLOOKUP(IF(ISBLANK(E12), "Balanced", E12), Stat_Matrix!$AG$2:$AP$6, 2, FALSE), 0)</f>
        <v/>
      </c>
      <c r="G12" s="37">
        <f>ROUND(VLOOKUP(C12, Stat_Matrix!$E$2:$N$7, 3, FALSE) * VLOOKUP(B12, Stat_Matrix!$A$2:$B$5, 2, FALSE) * VLOOKUP(IF(ISBLANK(D12), "Character", D12), Stat_Matrix!$AA$2:$AD$4, 3, FALSE) * VLOOKUP(IF(ISBLANK(E12), "Balanced", E12), Stat_Matrix!$AG$2:$AP$6, 3, FALSE), 0)</f>
        <v/>
      </c>
      <c r="H12" s="37">
        <f>ROUND(VLOOKUP(C12, Stat_Matrix!$E$2:$N$7, 4, FALSE) * VLOOKUP(B12, Stat_Matrix!$A$2:$B$5, 2, FALSE) * VLOOKUP(IF(ISBLANK(D12), "Character", D12), Stat_Matrix!$AA$2:$AD$4, 4, FALSE) * VLOOKUP(IF(ISBLANK(E12), "Balanced", E12), Stat_Matrix!$AG$2:$AP$6, 4, FALSE), 0)</f>
        <v/>
      </c>
      <c r="I12" s="37">
        <f>VLOOKUP(C12, Stat_Matrix!$E$2:$N$7, 5, FALSE) + (VLOOKUP(B12, Stat_Matrix!$A$2:$C$5, 3, FALSE) * VLOOKUP(C12, Stat_Matrix!$P$2:$Y$7, 5, FALSE)) + VLOOKUP(IF(ISBLANK(E12), "Balanced", E12), Stat_Matrix!$AG$2:$AP$6, 5, FALSE)</f>
        <v/>
      </c>
      <c r="J12" s="37">
        <f>VLOOKUP(C12, Stat_Matrix!$E$2:$N$7, 8, FALSE) + (VLOOKUP(B12, Stat_Matrix!$A$2:$C$5, 3, FALSE) * VLOOKUP(C12, Stat_Matrix!$P$2:$Y$7, 8, FALSE)) + VLOOKUP(IF(ISBLANK(E12), "Balanced", E12), Stat_Matrix!$AG$2:$AP$6, 8, FALSE)</f>
        <v/>
      </c>
      <c r="K12" s="37">
        <f>VLOOKUP(C12, Stat_Matrix!$E$2:$N$7, 6, FALSE) + (VLOOKUP(B12, Stat_Matrix!$A$2:$C$5, 3, FALSE) * VLOOKUP(C12, Stat_Matrix!$P$2:$Y$7, 6, FALSE)) + VLOOKUP(IF(ISBLANK(E12), "Balanced", E12), Stat_Matrix!$AG$2:$AP$6, 6, FALSE)</f>
        <v/>
      </c>
      <c r="L12" s="37">
        <f>VLOOKUP(C12, Stat_Matrix!$E$2:$N$7, 7, FALSE) + (VLOOKUP(B12, Stat_Matrix!$A$2:$C$5, 3, FALSE) * VLOOKUP(C12, Stat_Matrix!$P$2:$Y$7, 7, FALSE)) + VLOOKUP(IF(ISBLANK(E12), "Balanced", E12), Stat_Matrix!$AG$2:$AP$6, 7, FALSE)</f>
        <v/>
      </c>
      <c r="M12">
        <f>VLOOKUP(C12, Stat_Matrix!$E$2:$N$7, 9, FALSE) + (VLOOKUP(B12, Stat_Matrix!$A$2:$C$5, 3, FALSE) * VLOOKUP(C12, Stat_Matrix!$P$2:$Y$7, 9, FALSE)) + VLOOKUP(IF(ISBLANK(E12), "Balanced", E12), Stat_Matrix!$AG$2:$AP$6, 9, FALSE)</f>
        <v/>
      </c>
      <c r="N12">
        <f>VLOOKUP(C12, Stat_Matrix!$E$2:$N$7, 10, FALSE) + (VLOOKUP(B12, Stat_Matrix!$A$2:$C$5, 3, FALSE) * VLOOKUP(C12, Stat_Matrix!$P$2:$Y$7, 10, FALSE) + VLOOKUP(IF(ISBLANK(D12), "Character", D12), Stat_Matrix!$AA$2:$AE$4, 5, FALSE) + VLOOKUP(IF(ISBLANK(E12), "Balanced", E12), Stat_Matrix!$AG$2:$AP$6, 10, FALSE))</f>
        <v/>
      </c>
    </row>
    <row r="13">
      <c r="A13" s="22" t="inlineStr">
        <is>
          <t>TheBoySage</t>
        </is>
      </c>
      <c r="B13" s="2">
        <f>Character!C13</f>
        <v/>
      </c>
      <c r="C13" s="25">
        <f>Character!D13</f>
        <v/>
      </c>
      <c r="D13" s="7">
        <f>Character!E13</f>
        <v/>
      </c>
      <c r="E13" s="37" t="inlineStr">
        <is>
          <t>Balanced</t>
        </is>
      </c>
      <c r="F13" s="37">
        <f>ROUND(VLOOKUP(C13, Stat_Matrix!$E$2:$N$7, 2, FALSE) * VLOOKUP(B13, Stat_Matrix!$A$2:$B$5, 2, FALSE) * VLOOKUP(IF(ISBLANK(D13), "Character", D13), Stat_Matrix!$AA$2:$AD$4, 2, FALSE) * VLOOKUP(IF(ISBLANK(E13), "Balanced", E13), Stat_Matrix!$AG$2:$AP$6, 2, FALSE), 0)</f>
        <v/>
      </c>
      <c r="G13" s="37">
        <f>ROUND(VLOOKUP(C13, Stat_Matrix!$E$2:$N$7, 3, FALSE) * VLOOKUP(B13, Stat_Matrix!$A$2:$B$5, 2, FALSE) * VLOOKUP(IF(ISBLANK(D13), "Character", D13), Stat_Matrix!$AA$2:$AD$4, 3, FALSE) * VLOOKUP(IF(ISBLANK(E13), "Balanced", E13), Stat_Matrix!$AG$2:$AP$6, 3, FALSE), 0)</f>
        <v/>
      </c>
      <c r="H13" s="37">
        <f>ROUND(VLOOKUP(C13, Stat_Matrix!$E$2:$N$7, 4, FALSE) * VLOOKUP(B13, Stat_Matrix!$A$2:$B$5, 2, FALSE) * VLOOKUP(IF(ISBLANK(D13), "Character", D13), Stat_Matrix!$AA$2:$AD$4, 4, FALSE) * VLOOKUP(IF(ISBLANK(E13), "Balanced", E13), Stat_Matrix!$AG$2:$AP$6, 4, FALSE), 0)</f>
        <v/>
      </c>
      <c r="I13" s="37">
        <f>VLOOKUP(C13, Stat_Matrix!$E$2:$N$7, 5, FALSE) + (VLOOKUP(B13, Stat_Matrix!$A$2:$C$5, 3, FALSE) * VLOOKUP(C13, Stat_Matrix!$P$2:$Y$7, 5, FALSE)) + VLOOKUP(IF(ISBLANK(E13), "Balanced", E13), Stat_Matrix!$AG$2:$AP$6, 5, FALSE)</f>
        <v/>
      </c>
      <c r="J13" s="37">
        <f>VLOOKUP(C13, Stat_Matrix!$E$2:$N$7, 8, FALSE) + (VLOOKUP(B13, Stat_Matrix!$A$2:$C$5, 3, FALSE) * VLOOKUP(C13, Stat_Matrix!$P$2:$Y$7, 8, FALSE)) + VLOOKUP(IF(ISBLANK(E13), "Balanced", E13), Stat_Matrix!$AG$2:$AP$6, 8, FALSE)</f>
        <v/>
      </c>
      <c r="K13" s="37">
        <f>VLOOKUP(C13, Stat_Matrix!$E$2:$N$7, 6, FALSE) + (VLOOKUP(B13, Stat_Matrix!$A$2:$C$5, 3, FALSE) * VLOOKUP(C13, Stat_Matrix!$P$2:$Y$7, 6, FALSE)) + VLOOKUP(IF(ISBLANK(E13), "Balanced", E13), Stat_Matrix!$AG$2:$AP$6, 6, FALSE)</f>
        <v/>
      </c>
      <c r="L13" s="37">
        <f>VLOOKUP(C13, Stat_Matrix!$E$2:$N$7, 7, FALSE) + (VLOOKUP(B13, Stat_Matrix!$A$2:$C$5, 3, FALSE) * VLOOKUP(C13, Stat_Matrix!$P$2:$Y$7, 7, FALSE)) + VLOOKUP(IF(ISBLANK(E13), "Balanced", E13), Stat_Matrix!$AG$2:$AP$6, 7, FALSE)</f>
        <v/>
      </c>
      <c r="M13">
        <f>VLOOKUP(C13, Stat_Matrix!$E$2:$N$7, 9, FALSE) + (VLOOKUP(B13, Stat_Matrix!$A$2:$C$5, 3, FALSE) * VLOOKUP(C13, Stat_Matrix!$P$2:$Y$7, 9, FALSE)) + VLOOKUP(IF(ISBLANK(E13), "Balanced", E13), Stat_Matrix!$AG$2:$AP$6, 9, FALSE)</f>
        <v/>
      </c>
      <c r="N13">
        <f>VLOOKUP(C13, Stat_Matrix!$E$2:$N$7, 10, FALSE) + (VLOOKUP(B13, Stat_Matrix!$A$2:$C$5, 3, FALSE) * VLOOKUP(C13, Stat_Matrix!$P$2:$Y$7, 10, FALSE) + VLOOKUP(IF(ISBLANK(D13), "Character", D13), Stat_Matrix!$AA$2:$AE$4, 5, FALSE) + VLOOKUP(IF(ISBLANK(E13), "Balanced", E13), Stat_Matrix!$AG$2:$AP$6, 10, FALSE))</f>
        <v/>
      </c>
    </row>
    <row r="14">
      <c r="A14" s="22" t="inlineStr">
        <is>
          <t>GoldHornKing</t>
        </is>
      </c>
      <c r="B14" s="14">
        <f>Character!C14</f>
        <v/>
      </c>
      <c r="C14" s="25">
        <f>Character!D14</f>
        <v/>
      </c>
      <c r="D14" s="7">
        <f>Character!E14</f>
        <v/>
      </c>
      <c r="E14" s="37" t="inlineStr">
        <is>
          <t>Offensive</t>
        </is>
      </c>
      <c r="F14" s="37">
        <f>ROUND(VLOOKUP(C14, Stat_Matrix!$E$2:$N$7, 2, FALSE) * VLOOKUP(B14, Stat_Matrix!$A$2:$B$5, 2, FALSE) * VLOOKUP(IF(ISBLANK(D14), "Character", D14), Stat_Matrix!$AA$2:$AD$4, 2, FALSE) * VLOOKUP(IF(ISBLANK(E14), "Balanced", E14), Stat_Matrix!$AG$2:$AP$6, 2, FALSE), 0)</f>
        <v/>
      </c>
      <c r="G14" s="37">
        <f>ROUND(VLOOKUP(C14, Stat_Matrix!$E$2:$N$7, 3, FALSE) * VLOOKUP(B14, Stat_Matrix!$A$2:$B$5, 2, FALSE) * VLOOKUP(IF(ISBLANK(D14), "Character", D14), Stat_Matrix!$AA$2:$AD$4, 3, FALSE) * VLOOKUP(IF(ISBLANK(E14), "Balanced", E14), Stat_Matrix!$AG$2:$AP$6, 3, FALSE), 0)</f>
        <v/>
      </c>
      <c r="H14" s="37">
        <f>ROUND(VLOOKUP(C14, Stat_Matrix!$E$2:$N$7, 4, FALSE) * VLOOKUP(B14, Stat_Matrix!$A$2:$B$5, 2, FALSE) * VLOOKUP(IF(ISBLANK(D14), "Character", D14), Stat_Matrix!$AA$2:$AD$4, 4, FALSE) * VLOOKUP(IF(ISBLANK(E14), "Balanced", E14), Stat_Matrix!$AG$2:$AP$6, 4, FALSE), 0)</f>
        <v/>
      </c>
      <c r="I14" s="37">
        <f>VLOOKUP(C14, Stat_Matrix!$E$2:$N$7, 5, FALSE) + (VLOOKUP(B14, Stat_Matrix!$A$2:$C$5, 3, FALSE) * VLOOKUP(C14, Stat_Matrix!$P$2:$Y$7, 5, FALSE)) + VLOOKUP(IF(ISBLANK(E14), "Balanced", E14), Stat_Matrix!$AG$2:$AP$6, 5, FALSE)</f>
        <v/>
      </c>
      <c r="J14" s="37">
        <f>VLOOKUP(C14, Stat_Matrix!$E$2:$N$7, 8, FALSE) + (VLOOKUP(B14, Stat_Matrix!$A$2:$C$5, 3, FALSE) * VLOOKUP(C14, Stat_Matrix!$P$2:$Y$7, 8, FALSE)) + VLOOKUP(IF(ISBLANK(E14), "Balanced", E14), Stat_Matrix!$AG$2:$AP$6, 8, FALSE)</f>
        <v/>
      </c>
      <c r="K14" s="37">
        <f>VLOOKUP(C14, Stat_Matrix!$E$2:$N$7, 6, FALSE) + (VLOOKUP(B14, Stat_Matrix!$A$2:$C$5, 3, FALSE) * VLOOKUP(C14, Stat_Matrix!$P$2:$Y$7, 6, FALSE)) + VLOOKUP(IF(ISBLANK(E14), "Balanced", E14), Stat_Matrix!$AG$2:$AP$6, 6, FALSE)</f>
        <v/>
      </c>
      <c r="L14" s="37">
        <f>VLOOKUP(C14, Stat_Matrix!$E$2:$N$7, 7, FALSE) + (VLOOKUP(B14, Stat_Matrix!$A$2:$C$5, 3, FALSE) * VLOOKUP(C14, Stat_Matrix!$P$2:$Y$7, 7, FALSE)) + VLOOKUP(IF(ISBLANK(E14), "Balanced", E14), Stat_Matrix!$AG$2:$AP$6, 7, FALSE)</f>
        <v/>
      </c>
      <c r="M14">
        <f>VLOOKUP(C14, Stat_Matrix!$E$2:$N$7, 9, FALSE) + (VLOOKUP(B14, Stat_Matrix!$A$2:$C$5, 3, FALSE) * VLOOKUP(C14, Stat_Matrix!$P$2:$Y$7, 9, FALSE)) + VLOOKUP(IF(ISBLANK(E14), "Balanced", E14), Stat_Matrix!$AG$2:$AP$6, 9, FALSE)</f>
        <v/>
      </c>
      <c r="N14">
        <f>VLOOKUP(C14, Stat_Matrix!$E$2:$N$7, 10, FALSE) + (VLOOKUP(B14, Stat_Matrix!$A$2:$C$5, 3, FALSE) * VLOOKUP(C14, Stat_Matrix!$P$2:$Y$7, 10, FALSE) + VLOOKUP(IF(ISBLANK(D14), "Character", D14), Stat_Matrix!$AA$2:$AE$4, 5, FALSE) + VLOOKUP(IF(ISBLANK(E14), "Balanced", E14), Stat_Matrix!$AG$2:$AP$6, 10, FALSE))</f>
        <v/>
      </c>
    </row>
    <row r="15">
      <c r="A15" s="22" t="inlineStr">
        <is>
          <t>SilverHornKing</t>
        </is>
      </c>
      <c r="B15" s="14">
        <f>Character!C15</f>
        <v/>
      </c>
      <c r="C15" s="25">
        <f>Character!D15</f>
        <v/>
      </c>
      <c r="D15" s="7">
        <f>Character!E15</f>
        <v/>
      </c>
      <c r="E15" s="37" t="inlineStr">
        <is>
          <t>Offensive</t>
        </is>
      </c>
      <c r="F15" s="37">
        <f>ROUND(VLOOKUP(C15, Stat_Matrix!$E$2:$N$7, 2, FALSE) * VLOOKUP(B15, Stat_Matrix!$A$2:$B$5, 2, FALSE) * VLOOKUP(IF(ISBLANK(D15), "Character", D15), Stat_Matrix!$AA$2:$AD$4, 2, FALSE) * VLOOKUP(IF(ISBLANK(E15), "Balanced", E15), Stat_Matrix!$AG$2:$AP$6, 2, FALSE), 0)</f>
        <v/>
      </c>
      <c r="G15" s="37">
        <f>ROUND(VLOOKUP(C15, Stat_Matrix!$E$2:$N$7, 3, FALSE) * VLOOKUP(B15, Stat_Matrix!$A$2:$B$5, 2, FALSE) * VLOOKUP(IF(ISBLANK(D15), "Character", D15), Stat_Matrix!$AA$2:$AD$4, 3, FALSE) * VLOOKUP(IF(ISBLANK(E15), "Balanced", E15), Stat_Matrix!$AG$2:$AP$6, 3, FALSE), 0)</f>
        <v/>
      </c>
      <c r="H15" s="37">
        <f>ROUND(VLOOKUP(C15, Stat_Matrix!$E$2:$N$7, 4, FALSE) * VLOOKUP(B15, Stat_Matrix!$A$2:$B$5, 2, FALSE) * VLOOKUP(IF(ISBLANK(D15), "Character", D15), Stat_Matrix!$AA$2:$AD$4, 4, FALSE) * VLOOKUP(IF(ISBLANK(E15), "Balanced", E15), Stat_Matrix!$AG$2:$AP$6, 4, FALSE), 0)</f>
        <v/>
      </c>
      <c r="I15" s="37">
        <f>VLOOKUP(C15, Stat_Matrix!$E$2:$N$7, 5, FALSE) + (VLOOKUP(B15, Stat_Matrix!$A$2:$C$5, 3, FALSE) * VLOOKUP(C15, Stat_Matrix!$P$2:$Y$7, 5, FALSE)) + VLOOKUP(IF(ISBLANK(E15), "Balanced", E15), Stat_Matrix!$AG$2:$AP$6, 5, FALSE)</f>
        <v/>
      </c>
      <c r="J15" s="37">
        <f>VLOOKUP(C15, Stat_Matrix!$E$2:$N$7, 8, FALSE) + (VLOOKUP(B15, Stat_Matrix!$A$2:$C$5, 3, FALSE) * VLOOKUP(C15, Stat_Matrix!$P$2:$Y$7, 8, FALSE)) + VLOOKUP(IF(ISBLANK(E15), "Balanced", E15), Stat_Matrix!$AG$2:$AP$6, 8, FALSE)</f>
        <v/>
      </c>
      <c r="K15" s="37">
        <f>VLOOKUP(C15, Stat_Matrix!$E$2:$N$7, 6, FALSE) + (VLOOKUP(B15, Stat_Matrix!$A$2:$C$5, 3, FALSE) * VLOOKUP(C15, Stat_Matrix!$P$2:$Y$7, 6, FALSE)) + VLOOKUP(IF(ISBLANK(E15), "Balanced", E15), Stat_Matrix!$AG$2:$AP$6, 6, FALSE)</f>
        <v/>
      </c>
      <c r="L15" s="37">
        <f>VLOOKUP(C15, Stat_Matrix!$E$2:$N$7, 7, FALSE) + (VLOOKUP(B15, Stat_Matrix!$A$2:$C$5, 3, FALSE) * VLOOKUP(C15, Stat_Matrix!$P$2:$Y$7, 7, FALSE)) + VLOOKUP(IF(ISBLANK(E15), "Balanced", E15), Stat_Matrix!$AG$2:$AP$6, 7, FALSE)</f>
        <v/>
      </c>
      <c r="M15">
        <f>VLOOKUP(C15, Stat_Matrix!$E$2:$N$7, 9, FALSE) + (VLOOKUP(B15, Stat_Matrix!$A$2:$C$5, 3, FALSE) * VLOOKUP(C15, Stat_Matrix!$P$2:$Y$7, 9, FALSE)) + VLOOKUP(IF(ISBLANK(E15), "Balanced", E15), Stat_Matrix!$AG$2:$AP$6, 9, FALSE)</f>
        <v/>
      </c>
      <c r="N15">
        <f>VLOOKUP(C15, Stat_Matrix!$E$2:$N$7, 10, FALSE) + (VLOOKUP(B15, Stat_Matrix!$A$2:$C$5, 3, FALSE) * VLOOKUP(C15, Stat_Matrix!$P$2:$Y$7, 10, FALSE) + VLOOKUP(IF(ISBLANK(D15), "Character", D15), Stat_Matrix!$AA$2:$AE$4, 5, FALSE) + VLOOKUP(IF(ISBLANK(E15), "Balanced", E15), Stat_Matrix!$AG$2:$AP$6, 10, FALSE))</f>
        <v/>
      </c>
    </row>
    <row r="16">
      <c r="A16" s="22" t="inlineStr">
        <is>
          <t>YellowWindMonster</t>
        </is>
      </c>
      <c r="B16" s="2">
        <f>Character!C16</f>
        <v/>
      </c>
      <c r="C16" s="8">
        <f>Character!D16</f>
        <v/>
      </c>
      <c r="D16" s="7">
        <f>Character!E16</f>
        <v/>
      </c>
      <c r="E16" s="37" t="inlineStr">
        <is>
          <t>Offensive</t>
        </is>
      </c>
      <c r="F16" s="37">
        <f>ROUND(VLOOKUP(C16, Stat_Matrix!$E$2:$N$7, 2, FALSE) * VLOOKUP(B16, Stat_Matrix!$A$2:$B$5, 2, FALSE) * VLOOKUP(IF(ISBLANK(D16), "Character", D16), Stat_Matrix!$AA$2:$AD$4, 2, FALSE) * VLOOKUP(IF(ISBLANK(E16), "Balanced", E16), Stat_Matrix!$AG$2:$AP$6, 2, FALSE), 0)</f>
        <v/>
      </c>
      <c r="G16" s="37">
        <f>ROUND(VLOOKUP(C16, Stat_Matrix!$E$2:$N$7, 3, FALSE) * VLOOKUP(B16, Stat_Matrix!$A$2:$B$5, 2, FALSE) * VLOOKUP(IF(ISBLANK(D16), "Character", D16), Stat_Matrix!$AA$2:$AD$4, 3, FALSE) * VLOOKUP(IF(ISBLANK(E16), "Balanced", E16), Stat_Matrix!$AG$2:$AP$6, 3, FALSE), 0)</f>
        <v/>
      </c>
      <c r="H16" s="37">
        <f>ROUND(VLOOKUP(C16, Stat_Matrix!$E$2:$N$7, 4, FALSE) * VLOOKUP(B16, Stat_Matrix!$A$2:$B$5, 2, FALSE) * VLOOKUP(IF(ISBLANK(D16), "Character", D16), Stat_Matrix!$AA$2:$AD$4, 4, FALSE) * VLOOKUP(IF(ISBLANK(E16), "Balanced", E16), Stat_Matrix!$AG$2:$AP$6, 4, FALSE), 0)</f>
        <v/>
      </c>
      <c r="I16" s="37">
        <f>VLOOKUP(C16, Stat_Matrix!$E$2:$N$7, 5, FALSE) + (VLOOKUP(B16, Stat_Matrix!$A$2:$C$5, 3, FALSE) * VLOOKUP(C16, Stat_Matrix!$P$2:$Y$7, 5, FALSE)) + VLOOKUP(IF(ISBLANK(E16), "Balanced", E16), Stat_Matrix!$AG$2:$AP$6, 5, FALSE)</f>
        <v/>
      </c>
      <c r="J16" s="37">
        <f>VLOOKUP(C16, Stat_Matrix!$E$2:$N$7, 8, FALSE) + (VLOOKUP(B16, Stat_Matrix!$A$2:$C$5, 3, FALSE) * VLOOKUP(C16, Stat_Matrix!$P$2:$Y$7, 8, FALSE)) + VLOOKUP(IF(ISBLANK(E16), "Balanced", E16), Stat_Matrix!$AG$2:$AP$6, 8, FALSE)</f>
        <v/>
      </c>
      <c r="K16" s="37">
        <f>VLOOKUP(C16, Stat_Matrix!$E$2:$N$7, 6, FALSE) + (VLOOKUP(B16, Stat_Matrix!$A$2:$C$5, 3, FALSE) * VLOOKUP(C16, Stat_Matrix!$P$2:$Y$7, 6, FALSE)) + VLOOKUP(IF(ISBLANK(E16), "Balanced", E16), Stat_Matrix!$AG$2:$AP$6, 6, FALSE)</f>
        <v/>
      </c>
      <c r="L16" s="37">
        <f>VLOOKUP(C16, Stat_Matrix!$E$2:$N$7, 7, FALSE) + (VLOOKUP(B16, Stat_Matrix!$A$2:$C$5, 3, FALSE) * VLOOKUP(C16, Stat_Matrix!$P$2:$Y$7, 7, FALSE)) + VLOOKUP(IF(ISBLANK(E16), "Balanced", E16), Stat_Matrix!$AG$2:$AP$6, 7, FALSE)</f>
        <v/>
      </c>
      <c r="M16">
        <f>VLOOKUP(C16, Stat_Matrix!$E$2:$N$7, 9, FALSE) + (VLOOKUP(B16, Stat_Matrix!$A$2:$C$5, 3, FALSE) * VLOOKUP(C16, Stat_Matrix!$P$2:$Y$7, 9, FALSE)) + VLOOKUP(IF(ISBLANK(E16), "Balanced", E16), Stat_Matrix!$AG$2:$AP$6, 9, FALSE)</f>
        <v/>
      </c>
      <c r="N16">
        <f>VLOOKUP(C16, Stat_Matrix!$E$2:$N$7, 10, FALSE) + (VLOOKUP(B16, Stat_Matrix!$A$2:$C$5, 3, FALSE) * VLOOKUP(C16, Stat_Matrix!$P$2:$Y$7, 10, FALSE) + VLOOKUP(IF(ISBLANK(D16), "Character", D16), Stat_Matrix!$AA$2:$AE$4, 5, FALSE) + VLOOKUP(IF(ISBLANK(E16), "Balanced", E16), Stat_Matrix!$AG$2:$AP$6, 10, FALSE))</f>
        <v/>
      </c>
    </row>
    <row r="17">
      <c r="A17" s="22" t="inlineStr">
        <is>
          <t>GoldfishDemon</t>
        </is>
      </c>
      <c r="B17" s="14">
        <f>Character!C17</f>
        <v/>
      </c>
      <c r="C17" s="8">
        <f>Character!D17</f>
        <v/>
      </c>
      <c r="D17" s="7">
        <f>Character!E17</f>
        <v/>
      </c>
      <c r="E17" s="37" t="inlineStr">
        <is>
          <t>Offensive</t>
        </is>
      </c>
      <c r="F17" s="37">
        <f>ROUND(VLOOKUP(C17, Stat_Matrix!$E$2:$N$7, 2, FALSE) * VLOOKUP(B17, Stat_Matrix!$A$2:$B$5, 2, FALSE) * VLOOKUP(IF(ISBLANK(D17), "Character", D17), Stat_Matrix!$AA$2:$AD$4, 2, FALSE) * VLOOKUP(IF(ISBLANK(E17), "Balanced", E17), Stat_Matrix!$AG$2:$AP$6, 2, FALSE), 0)</f>
        <v/>
      </c>
      <c r="G17" s="37">
        <f>ROUND(VLOOKUP(C17, Stat_Matrix!$E$2:$N$7, 3, FALSE) * VLOOKUP(B17, Stat_Matrix!$A$2:$B$5, 2, FALSE) * VLOOKUP(IF(ISBLANK(D17), "Character", D17), Stat_Matrix!$AA$2:$AD$4, 3, FALSE) * VLOOKUP(IF(ISBLANK(E17), "Balanced", E17), Stat_Matrix!$AG$2:$AP$6, 3, FALSE), 0)</f>
        <v/>
      </c>
      <c r="H17" s="37">
        <f>ROUND(VLOOKUP(C17, Stat_Matrix!$E$2:$N$7, 4, FALSE) * VLOOKUP(B17, Stat_Matrix!$A$2:$B$5, 2, FALSE) * VLOOKUP(IF(ISBLANK(D17), "Character", D17), Stat_Matrix!$AA$2:$AD$4, 4, FALSE) * VLOOKUP(IF(ISBLANK(E17), "Balanced", E17), Stat_Matrix!$AG$2:$AP$6, 4, FALSE), 0)</f>
        <v/>
      </c>
      <c r="I17" s="37">
        <f>VLOOKUP(C17, Stat_Matrix!$E$2:$N$7, 5, FALSE) + (VLOOKUP(B17, Stat_Matrix!$A$2:$C$5, 3, FALSE) * VLOOKUP(C17, Stat_Matrix!$P$2:$Y$7, 5, FALSE)) + VLOOKUP(IF(ISBLANK(E17), "Balanced", E17), Stat_Matrix!$AG$2:$AP$6, 5, FALSE)</f>
        <v/>
      </c>
      <c r="J17" s="37">
        <f>VLOOKUP(C17, Stat_Matrix!$E$2:$N$7, 8, FALSE) + (VLOOKUP(B17, Stat_Matrix!$A$2:$C$5, 3, FALSE) * VLOOKUP(C17, Stat_Matrix!$P$2:$Y$7, 8, FALSE)) + VLOOKUP(IF(ISBLANK(E17), "Balanced", E17), Stat_Matrix!$AG$2:$AP$6, 8, FALSE)</f>
        <v/>
      </c>
      <c r="K17" s="37">
        <f>VLOOKUP(C17, Stat_Matrix!$E$2:$N$7, 6, FALSE) + (VLOOKUP(B17, Stat_Matrix!$A$2:$C$5, 3, FALSE) * VLOOKUP(C17, Stat_Matrix!$P$2:$Y$7, 6, FALSE)) + VLOOKUP(IF(ISBLANK(E17), "Balanced", E17), Stat_Matrix!$AG$2:$AP$6, 6, FALSE)</f>
        <v/>
      </c>
      <c r="L17" s="37">
        <f>VLOOKUP(C17, Stat_Matrix!$E$2:$N$7, 7, FALSE) + (VLOOKUP(B17, Stat_Matrix!$A$2:$C$5, 3, FALSE) * VLOOKUP(C17, Stat_Matrix!$P$2:$Y$7, 7, FALSE)) + VLOOKUP(IF(ISBLANK(E17), "Balanced", E17), Stat_Matrix!$AG$2:$AP$6, 7, FALSE)</f>
        <v/>
      </c>
      <c r="M17">
        <f>VLOOKUP(C17, Stat_Matrix!$E$2:$N$7, 9, FALSE) + (VLOOKUP(B17, Stat_Matrix!$A$2:$C$5, 3, FALSE) * VLOOKUP(C17, Stat_Matrix!$P$2:$Y$7, 9, FALSE)) + VLOOKUP(IF(ISBLANK(E17), "Balanced", E17), Stat_Matrix!$AG$2:$AP$6, 9, FALSE)</f>
        <v/>
      </c>
      <c r="N17">
        <f>VLOOKUP(C17, Stat_Matrix!$E$2:$N$7, 10, FALSE) + (VLOOKUP(B17, Stat_Matrix!$A$2:$C$5, 3, FALSE) * VLOOKUP(C17, Stat_Matrix!$P$2:$Y$7, 10, FALSE) + VLOOKUP(IF(ISBLANK(D17), "Character", D17), Stat_Matrix!$AA$2:$AE$4, 5, FALSE) + VLOOKUP(IF(ISBLANK(E17), "Balanced", E17), Stat_Matrix!$AG$2:$AP$6, 10, FALSE))</f>
        <v/>
      </c>
    </row>
    <row r="18">
      <c r="A18" s="11" t="inlineStr">
        <is>
          <t>HeavenlySoddier</t>
        </is>
      </c>
      <c r="B18" s="17">
        <f>Character!C18</f>
        <v/>
      </c>
      <c r="C18" s="8">
        <f>Character!D18</f>
        <v/>
      </c>
      <c r="D18" s="37">
        <f>Character!E18</f>
        <v/>
      </c>
      <c r="E18" s="37" t="inlineStr">
        <is>
          <t>Balanced</t>
        </is>
      </c>
      <c r="F18" s="37">
        <f>ROUND(VLOOKUP(C18, Stat_Matrix!$E$2:$N$7, 2, FALSE) * VLOOKUP(B18, Stat_Matrix!$A$2:$B$5, 2, FALSE) * VLOOKUP(IF(ISBLANK(D18), "Character", D18), Stat_Matrix!$AA$2:$AD$4, 2, FALSE) * VLOOKUP(IF(ISBLANK(E18), "Balanced", E18), Stat_Matrix!$AG$2:$AP$6, 2, FALSE), 0)</f>
        <v/>
      </c>
      <c r="G18" s="37">
        <f>ROUND(VLOOKUP(C18, Stat_Matrix!$E$2:$N$7, 3, FALSE) * VLOOKUP(B18, Stat_Matrix!$A$2:$B$5, 2, FALSE) * VLOOKUP(IF(ISBLANK(D18), "Character", D18), Stat_Matrix!$AA$2:$AD$4, 3, FALSE) * VLOOKUP(IF(ISBLANK(E18), "Balanced", E18), Stat_Matrix!$AG$2:$AP$6, 3, FALSE), 0)</f>
        <v/>
      </c>
      <c r="H18" s="37">
        <f>ROUND(VLOOKUP(C18, Stat_Matrix!$E$2:$N$7, 4, FALSE) * VLOOKUP(B18, Stat_Matrix!$A$2:$B$5, 2, FALSE) * VLOOKUP(IF(ISBLANK(D18), "Character", D18), Stat_Matrix!$AA$2:$AD$4, 4, FALSE) * VLOOKUP(IF(ISBLANK(E18), "Balanced", E18), Stat_Matrix!$AG$2:$AP$6, 4, FALSE), 0)</f>
        <v/>
      </c>
      <c r="I18" s="37">
        <f>VLOOKUP(C18, Stat_Matrix!$E$2:$N$7, 5, FALSE) + (VLOOKUP(B18, Stat_Matrix!$A$2:$C$5, 3, FALSE) * VLOOKUP(C18, Stat_Matrix!$P$2:$Y$7, 5, FALSE)) + VLOOKUP(IF(ISBLANK(E18), "Balanced", E18), Stat_Matrix!$AG$2:$AP$6, 5, FALSE)</f>
        <v/>
      </c>
      <c r="J18" s="37">
        <f>VLOOKUP(C18, Stat_Matrix!$E$2:$N$7, 8, FALSE) + (VLOOKUP(B18, Stat_Matrix!$A$2:$C$5, 3, FALSE) * VLOOKUP(C18, Stat_Matrix!$P$2:$Y$7, 8, FALSE)) + VLOOKUP(IF(ISBLANK(E18), "Balanced", E18), Stat_Matrix!$AG$2:$AP$6, 8, FALSE)</f>
        <v/>
      </c>
      <c r="K18" s="37">
        <f>VLOOKUP(C18, Stat_Matrix!$E$2:$N$7, 6, FALSE) + (VLOOKUP(B18, Stat_Matrix!$A$2:$C$5, 3, FALSE) * VLOOKUP(C18, Stat_Matrix!$P$2:$Y$7, 6, FALSE)) + VLOOKUP(IF(ISBLANK(E18), "Balanced", E18), Stat_Matrix!$AG$2:$AP$6, 6, FALSE)</f>
        <v/>
      </c>
      <c r="L18" s="37">
        <f>VLOOKUP(C18, Stat_Matrix!$E$2:$N$7, 7, FALSE) + (VLOOKUP(B18, Stat_Matrix!$A$2:$C$5, 3, FALSE) * VLOOKUP(C18, Stat_Matrix!$P$2:$Y$7, 7, FALSE)) + VLOOKUP(IF(ISBLANK(E18), "Balanced", E18), Stat_Matrix!$AG$2:$AP$6, 7, FALSE)</f>
        <v/>
      </c>
      <c r="M18">
        <f>VLOOKUP(C18, Stat_Matrix!$E$2:$N$7, 9, FALSE) + (VLOOKUP(B18, Stat_Matrix!$A$2:$C$5, 3, FALSE) * VLOOKUP(C18, Stat_Matrix!$P$2:$Y$7, 9, FALSE)) + VLOOKUP(IF(ISBLANK(E18), "Balanced", E18), Stat_Matrix!$AG$2:$AP$6, 9, FALSE)</f>
        <v/>
      </c>
      <c r="N18">
        <f>VLOOKUP(C18, Stat_Matrix!$E$2:$N$7, 10, FALSE) + (VLOOKUP(B18, Stat_Matrix!$A$2:$C$5, 3, FALSE) * VLOOKUP(C18, Stat_Matrix!$P$2:$Y$7, 10, FALSE) + VLOOKUP(IF(ISBLANK(D18), "Character", D18), Stat_Matrix!$AA$2:$AE$4, 5, FALSE) + VLOOKUP(IF(ISBLANK(E18), "Balanced", E18), Stat_Matrix!$AG$2:$AP$6, 10, FALSE))</f>
        <v/>
      </c>
    </row>
    <row r="19">
      <c r="A19" s="11" t="inlineStr">
        <is>
          <t>YoungBufflalo</t>
        </is>
      </c>
      <c r="B19" s="17">
        <f>Character!C19</f>
        <v/>
      </c>
      <c r="C19" s="8">
        <f>Character!D19</f>
        <v/>
      </c>
      <c r="D19" s="37">
        <f>Character!E19</f>
        <v/>
      </c>
      <c r="E19" s="37" t="inlineStr">
        <is>
          <t>Balanced</t>
        </is>
      </c>
      <c r="F19" s="37">
        <f>ROUND(VLOOKUP(C19, Stat_Matrix!$E$2:$N$7, 2, FALSE) * VLOOKUP(B19, Stat_Matrix!$A$2:$B$5, 2, FALSE) * VLOOKUP(IF(ISBLANK(D19), "Character", D19), Stat_Matrix!$AA$2:$AD$4, 2, FALSE) * VLOOKUP(IF(ISBLANK(E19), "Balanced", E19), Stat_Matrix!$AG$2:$AP$6, 2, FALSE), 0)</f>
        <v/>
      </c>
      <c r="G19" s="37">
        <f>ROUND(VLOOKUP(C19, Stat_Matrix!$E$2:$N$7, 3, FALSE) * VLOOKUP(B19, Stat_Matrix!$A$2:$B$5, 2, FALSE) * VLOOKUP(IF(ISBLANK(D19), "Character", D19), Stat_Matrix!$AA$2:$AD$4, 3, FALSE) * VLOOKUP(IF(ISBLANK(E19), "Balanced", E19), Stat_Matrix!$AG$2:$AP$6, 3, FALSE), 0)</f>
        <v/>
      </c>
      <c r="H19" s="37">
        <f>ROUND(VLOOKUP(C19, Stat_Matrix!$E$2:$N$7, 4, FALSE) * VLOOKUP(B19, Stat_Matrix!$A$2:$B$5, 2, FALSE) * VLOOKUP(IF(ISBLANK(D19), "Character", D19), Stat_Matrix!$AA$2:$AD$4, 4, FALSE) * VLOOKUP(IF(ISBLANK(E19), "Balanced", E19), Stat_Matrix!$AG$2:$AP$6, 4, FALSE), 0)</f>
        <v/>
      </c>
      <c r="I19" s="37">
        <f>VLOOKUP(C19, Stat_Matrix!$E$2:$N$7, 5, FALSE) + (VLOOKUP(B19, Stat_Matrix!$A$2:$C$5, 3, FALSE) * VLOOKUP(C19, Stat_Matrix!$P$2:$Y$7, 5, FALSE)) + VLOOKUP(IF(ISBLANK(E19), "Balanced", E19), Stat_Matrix!$AG$2:$AP$6, 5, FALSE)</f>
        <v/>
      </c>
      <c r="J19" s="37">
        <f>VLOOKUP(C19, Stat_Matrix!$E$2:$N$7, 8, FALSE) + (VLOOKUP(B19, Stat_Matrix!$A$2:$C$5, 3, FALSE) * VLOOKUP(C19, Stat_Matrix!$P$2:$Y$7, 8, FALSE)) + VLOOKUP(IF(ISBLANK(E19), "Balanced", E19), Stat_Matrix!$AG$2:$AP$6, 8, FALSE)</f>
        <v/>
      </c>
      <c r="K19" s="37">
        <f>VLOOKUP(C19, Stat_Matrix!$E$2:$N$7, 6, FALSE) + (VLOOKUP(B19, Stat_Matrix!$A$2:$C$5, 3, FALSE) * VLOOKUP(C19, Stat_Matrix!$P$2:$Y$7, 6, FALSE)) + VLOOKUP(IF(ISBLANK(E19), "Balanced", E19), Stat_Matrix!$AG$2:$AP$6, 6, FALSE)</f>
        <v/>
      </c>
      <c r="L19" s="37">
        <f>VLOOKUP(C19, Stat_Matrix!$E$2:$N$7, 7, FALSE) + (VLOOKUP(B19, Stat_Matrix!$A$2:$C$5, 3, FALSE) * VLOOKUP(C19, Stat_Matrix!$P$2:$Y$7, 7, FALSE)) + VLOOKUP(IF(ISBLANK(E19), "Balanced", E19), Stat_Matrix!$AG$2:$AP$6, 7, FALSE)</f>
        <v/>
      </c>
      <c r="M19">
        <f>VLOOKUP(C19, Stat_Matrix!$E$2:$N$7, 9, FALSE) + (VLOOKUP(B19, Stat_Matrix!$A$2:$C$5, 3, FALSE) * VLOOKUP(C19, Stat_Matrix!$P$2:$Y$7, 9, FALSE)) + VLOOKUP(IF(ISBLANK(E19), "Balanced", E19), Stat_Matrix!$AG$2:$AP$6, 9, FALSE)</f>
        <v/>
      </c>
      <c r="N19">
        <f>VLOOKUP(C19, Stat_Matrix!$E$2:$N$7, 10, FALSE) + (VLOOKUP(B19, Stat_Matrix!$A$2:$C$5, 3, FALSE) * VLOOKUP(C19, Stat_Matrix!$P$2:$Y$7, 10, FALSE) + VLOOKUP(IF(ISBLANK(D19), "Character", D19), Stat_Matrix!$AA$2:$AE$4, 5, FALSE) + VLOOKUP(IF(ISBLANK(E19), "Balanced", E19), Stat_Matrix!$AG$2:$AP$6, 10, FALSE))</f>
        <v/>
      </c>
    </row>
    <row r="20">
      <c r="A20" s="11" t="inlineStr">
        <is>
          <t>Minions</t>
        </is>
      </c>
      <c r="B20" s="17">
        <f>Character!C20</f>
        <v/>
      </c>
      <c r="C20" s="8">
        <f>Character!D20</f>
        <v/>
      </c>
      <c r="D20" s="37">
        <f>Character!E20</f>
        <v/>
      </c>
      <c r="E20" s="37" t="inlineStr">
        <is>
          <t>Balanced</t>
        </is>
      </c>
      <c r="F20" s="37">
        <f>ROUND(VLOOKUP(C20, Stat_Matrix!$E$2:$N$7, 2, FALSE) * VLOOKUP(B20, Stat_Matrix!$A$2:$B$5, 2, FALSE) * VLOOKUP(IF(ISBLANK(D20), "Character", D20), Stat_Matrix!$AA$2:$AD$4, 2, FALSE) * VLOOKUP(IF(ISBLANK(E20), "Balanced", E20), Stat_Matrix!$AG$2:$AP$6, 2, FALSE), 0)</f>
        <v/>
      </c>
      <c r="G20" s="37">
        <f>ROUND(VLOOKUP(C20, Stat_Matrix!$E$2:$N$7, 3, FALSE) * VLOOKUP(B20, Stat_Matrix!$A$2:$B$5, 2, FALSE) * VLOOKUP(IF(ISBLANK(D20), "Character", D20), Stat_Matrix!$AA$2:$AD$4, 3, FALSE) * VLOOKUP(IF(ISBLANK(E20), "Balanced", E20), Stat_Matrix!$AG$2:$AP$6, 3, FALSE), 0)</f>
        <v/>
      </c>
      <c r="H20" s="37">
        <f>ROUND(VLOOKUP(C20, Stat_Matrix!$E$2:$N$7, 4, FALSE) * VLOOKUP(B20, Stat_Matrix!$A$2:$B$5, 2, FALSE) * VLOOKUP(IF(ISBLANK(D20), "Character", D20), Stat_Matrix!$AA$2:$AD$4, 4, FALSE) * VLOOKUP(IF(ISBLANK(E20), "Balanced", E20), Stat_Matrix!$AG$2:$AP$6, 4, FALSE), 0)</f>
        <v/>
      </c>
      <c r="I20" s="37">
        <f>VLOOKUP(C20, Stat_Matrix!$E$2:$N$7, 5, FALSE) + (VLOOKUP(B20, Stat_Matrix!$A$2:$C$5, 3, FALSE) * VLOOKUP(C20, Stat_Matrix!$P$2:$Y$7, 5, FALSE)) + VLOOKUP(IF(ISBLANK(E20), "Balanced", E20), Stat_Matrix!$AG$2:$AP$6, 5, FALSE)</f>
        <v/>
      </c>
      <c r="J20" s="37">
        <f>VLOOKUP(C20, Stat_Matrix!$E$2:$N$7, 8, FALSE) + (VLOOKUP(B20, Stat_Matrix!$A$2:$C$5, 3, FALSE) * VLOOKUP(C20, Stat_Matrix!$P$2:$Y$7, 8, FALSE)) + VLOOKUP(IF(ISBLANK(E20), "Balanced", E20), Stat_Matrix!$AG$2:$AP$6, 8, FALSE)</f>
        <v/>
      </c>
      <c r="K20" s="37">
        <f>VLOOKUP(C20, Stat_Matrix!$E$2:$N$7, 6, FALSE) + (VLOOKUP(B20, Stat_Matrix!$A$2:$C$5, 3, FALSE) * VLOOKUP(C20, Stat_Matrix!$P$2:$Y$7, 6, FALSE)) + VLOOKUP(IF(ISBLANK(E20), "Balanced", E20), Stat_Matrix!$AG$2:$AP$6, 6, FALSE)</f>
        <v/>
      </c>
      <c r="L20" s="37">
        <f>VLOOKUP(C20, Stat_Matrix!$E$2:$N$7, 7, FALSE) + (VLOOKUP(B20, Stat_Matrix!$A$2:$C$5, 3, FALSE) * VLOOKUP(C20, Stat_Matrix!$P$2:$Y$7, 7, FALSE)) + VLOOKUP(IF(ISBLANK(E20), "Balanced", E20), Stat_Matrix!$AG$2:$AP$6, 7, FALSE)</f>
        <v/>
      </c>
      <c r="M20">
        <f>VLOOKUP(C20, Stat_Matrix!$E$2:$N$7, 9, FALSE) + (VLOOKUP(B20, Stat_Matrix!$A$2:$C$5, 3, FALSE) * VLOOKUP(C20, Stat_Matrix!$P$2:$Y$7, 9, FALSE)) + VLOOKUP(IF(ISBLANK(E20), "Balanced", E20), Stat_Matrix!$AG$2:$AP$6, 9, FALSE)</f>
        <v/>
      </c>
      <c r="N20">
        <f>VLOOKUP(C20, Stat_Matrix!$E$2:$N$7, 10, FALSE) + (VLOOKUP(B20, Stat_Matrix!$A$2:$C$5, 3, FALSE) * VLOOKUP(C20, Stat_Matrix!$P$2:$Y$7, 10, FALSE) + VLOOKUP(IF(ISBLANK(D20), "Character", D20), Stat_Matrix!$AA$2:$AE$4, 5, FALSE) + VLOOKUP(IF(ISBLANK(E20), "Balanced", E20), Stat_Matrix!$AG$2:$AP$6, 10, FALSE))</f>
        <v/>
      </c>
    </row>
    <row r="21">
      <c r="A21" s="11" t="inlineStr">
        <is>
          <t>RatMonster</t>
        </is>
      </c>
      <c r="B21" s="17">
        <f>Character!C21</f>
        <v/>
      </c>
      <c r="C21" s="8">
        <f>Character!D21</f>
        <v/>
      </c>
      <c r="D21" s="37">
        <f>Character!E21</f>
        <v/>
      </c>
      <c r="E21" s="37" t="inlineStr">
        <is>
          <t>Swift</t>
        </is>
      </c>
      <c r="F21" s="37">
        <f>ROUND(VLOOKUP(C21, Stat_Matrix!$E$2:$N$7, 2, FALSE) * VLOOKUP(B21, Stat_Matrix!$A$2:$B$5, 2, FALSE) * VLOOKUP(IF(ISBLANK(D21), "Character", D21), Stat_Matrix!$AA$2:$AD$4, 2, FALSE) * VLOOKUP(IF(ISBLANK(E21), "Balanced", E21), Stat_Matrix!$AG$2:$AP$6, 2, FALSE), 0)</f>
        <v/>
      </c>
      <c r="G21" s="37">
        <f>ROUND(VLOOKUP(C21, Stat_Matrix!$E$2:$N$7, 3, FALSE) * VLOOKUP(B21, Stat_Matrix!$A$2:$B$5, 2, FALSE) * VLOOKUP(IF(ISBLANK(D21), "Character", D21), Stat_Matrix!$AA$2:$AD$4, 3, FALSE) * VLOOKUP(IF(ISBLANK(E21), "Balanced", E21), Stat_Matrix!$AG$2:$AP$6, 3, FALSE), 0)</f>
        <v/>
      </c>
      <c r="H21" s="37">
        <f>ROUND(VLOOKUP(C21, Stat_Matrix!$E$2:$N$7, 4, FALSE) * VLOOKUP(B21, Stat_Matrix!$A$2:$B$5, 2, FALSE) * VLOOKUP(IF(ISBLANK(D21), "Character", D21), Stat_Matrix!$AA$2:$AD$4, 4, FALSE) * VLOOKUP(IF(ISBLANK(E21), "Balanced", E21), Stat_Matrix!$AG$2:$AP$6, 4, FALSE), 0)</f>
        <v/>
      </c>
      <c r="I21" s="37">
        <f>VLOOKUP(C21, Stat_Matrix!$E$2:$N$7, 5, FALSE) + (VLOOKUP(B21, Stat_Matrix!$A$2:$C$5, 3, FALSE) * VLOOKUP(C21, Stat_Matrix!$P$2:$Y$7, 5, FALSE)) + VLOOKUP(IF(ISBLANK(E21), "Balanced", E21), Stat_Matrix!$AG$2:$AP$6, 5, FALSE)</f>
        <v/>
      </c>
      <c r="J21" s="37">
        <f>VLOOKUP(C21, Stat_Matrix!$E$2:$N$7, 8, FALSE) + (VLOOKUP(B21, Stat_Matrix!$A$2:$C$5, 3, FALSE) * VLOOKUP(C21, Stat_Matrix!$P$2:$Y$7, 8, FALSE)) + VLOOKUP(IF(ISBLANK(E21), "Balanced", E21), Stat_Matrix!$AG$2:$AP$6, 8, FALSE)</f>
        <v/>
      </c>
      <c r="K21" s="37">
        <f>VLOOKUP(C21, Stat_Matrix!$E$2:$N$7, 6, FALSE) + (VLOOKUP(B21, Stat_Matrix!$A$2:$C$5, 3, FALSE) * VLOOKUP(C21, Stat_Matrix!$P$2:$Y$7, 6, FALSE)) + VLOOKUP(IF(ISBLANK(E21), "Balanced", E21), Stat_Matrix!$AG$2:$AP$6, 6, FALSE)</f>
        <v/>
      </c>
      <c r="L21" s="37">
        <f>VLOOKUP(C21, Stat_Matrix!$E$2:$N$7, 7, FALSE) + (VLOOKUP(B21, Stat_Matrix!$A$2:$C$5, 3, FALSE) * VLOOKUP(C21, Stat_Matrix!$P$2:$Y$7, 7, FALSE)) + VLOOKUP(IF(ISBLANK(E21), "Balanced", E21), Stat_Matrix!$AG$2:$AP$6, 7, FALSE)</f>
        <v/>
      </c>
      <c r="M21">
        <f>VLOOKUP(C21, Stat_Matrix!$E$2:$N$7, 9, FALSE) + (VLOOKUP(B21, Stat_Matrix!$A$2:$C$5, 3, FALSE) * VLOOKUP(C21, Stat_Matrix!$P$2:$Y$7, 9, FALSE)) + VLOOKUP(IF(ISBLANK(E21), "Balanced", E21), Stat_Matrix!$AG$2:$AP$6, 9, FALSE)</f>
        <v/>
      </c>
      <c r="N21">
        <f>VLOOKUP(C21, Stat_Matrix!$E$2:$N$7, 10, FALSE) + (VLOOKUP(B21, Stat_Matrix!$A$2:$C$5, 3, FALSE) * VLOOKUP(C21, Stat_Matrix!$P$2:$Y$7, 10, FALSE) + VLOOKUP(IF(ISBLANK(D21), "Character", D21), Stat_Matrix!$AA$2:$AE$4, 5, FALSE) + VLOOKUP(IF(ISBLANK(E21), "Balanced", E21), Stat_Matrix!$AG$2:$AP$6, 10, FALSE))</f>
        <v/>
      </c>
    </row>
    <row r="22">
      <c r="A22" s="11" t="inlineStr">
        <is>
          <t>CrabSolider</t>
        </is>
      </c>
      <c r="B22" s="17">
        <f>Character!C22</f>
        <v/>
      </c>
      <c r="C22" s="8">
        <f>Character!D22</f>
        <v/>
      </c>
      <c r="D22" s="37">
        <f>Character!E22</f>
        <v/>
      </c>
      <c r="E22" s="37" t="inlineStr">
        <is>
          <t>Defensive</t>
        </is>
      </c>
      <c r="F22" s="37">
        <f>ROUND(VLOOKUP(C22, Stat_Matrix!$E$2:$N$7, 2, FALSE) * VLOOKUP(B22, Stat_Matrix!$A$2:$B$5, 2, FALSE) * VLOOKUP(IF(ISBLANK(D22), "Character", D22), Stat_Matrix!$AA$2:$AD$4, 2, FALSE) * VLOOKUP(IF(ISBLANK(E22), "Balanced", E22), Stat_Matrix!$AG$2:$AP$6, 2, FALSE), 0)</f>
        <v/>
      </c>
      <c r="G22" s="37">
        <f>ROUND(VLOOKUP(C22, Stat_Matrix!$E$2:$N$7, 3, FALSE) * VLOOKUP(B22, Stat_Matrix!$A$2:$B$5, 2, FALSE) * VLOOKUP(IF(ISBLANK(D22), "Character", D22), Stat_Matrix!$AA$2:$AD$4, 3, FALSE) * VLOOKUP(IF(ISBLANK(E22), "Balanced", E22), Stat_Matrix!$AG$2:$AP$6, 3, FALSE), 0)</f>
        <v/>
      </c>
      <c r="H22" s="37">
        <f>ROUND(VLOOKUP(C22, Stat_Matrix!$E$2:$N$7, 4, FALSE) * VLOOKUP(B22, Stat_Matrix!$A$2:$B$5, 2, FALSE) * VLOOKUP(IF(ISBLANK(D22), "Character", D22), Stat_Matrix!$AA$2:$AD$4, 4, FALSE) * VLOOKUP(IF(ISBLANK(E22), "Balanced", E22), Stat_Matrix!$AG$2:$AP$6, 4, FALSE), 0)</f>
        <v/>
      </c>
      <c r="I22" s="37">
        <f>VLOOKUP(C22, Stat_Matrix!$E$2:$N$7, 5, FALSE) + (VLOOKUP(B22, Stat_Matrix!$A$2:$C$5, 3, FALSE) * VLOOKUP(C22, Stat_Matrix!$P$2:$Y$7, 5, FALSE)) + VLOOKUP(IF(ISBLANK(E22), "Balanced", E22), Stat_Matrix!$AG$2:$AP$6, 5, FALSE)</f>
        <v/>
      </c>
      <c r="J22" s="37">
        <f>VLOOKUP(C22, Stat_Matrix!$E$2:$N$7, 8, FALSE) + (VLOOKUP(B22, Stat_Matrix!$A$2:$C$5, 3, FALSE) * VLOOKUP(C22, Stat_Matrix!$P$2:$Y$7, 8, FALSE)) + VLOOKUP(IF(ISBLANK(E22), "Balanced", E22), Stat_Matrix!$AG$2:$AP$6, 8, FALSE)</f>
        <v/>
      </c>
      <c r="K22" s="37">
        <f>VLOOKUP(C22, Stat_Matrix!$E$2:$N$7, 6, FALSE) + (VLOOKUP(B22, Stat_Matrix!$A$2:$C$5, 3, FALSE) * VLOOKUP(C22, Stat_Matrix!$P$2:$Y$7, 6, FALSE)) + VLOOKUP(IF(ISBLANK(E22), "Balanced", E22), Stat_Matrix!$AG$2:$AP$6, 6, FALSE)</f>
        <v/>
      </c>
      <c r="L22" s="37">
        <f>VLOOKUP(C22, Stat_Matrix!$E$2:$N$7, 7, FALSE) + (VLOOKUP(B22, Stat_Matrix!$A$2:$C$5, 3, FALSE) * VLOOKUP(C22, Stat_Matrix!$P$2:$Y$7, 7, FALSE)) + VLOOKUP(IF(ISBLANK(E22), "Balanced", E22), Stat_Matrix!$AG$2:$AP$6, 7, FALSE)</f>
        <v/>
      </c>
      <c r="M22">
        <f>VLOOKUP(C22, Stat_Matrix!$E$2:$N$7, 9, FALSE) + (VLOOKUP(B22, Stat_Matrix!$A$2:$C$5, 3, FALSE) * VLOOKUP(C22, Stat_Matrix!$P$2:$Y$7, 9, FALSE)) + VLOOKUP(IF(ISBLANK(E22), "Balanced", E22), Stat_Matrix!$AG$2:$AP$6, 9, FALSE)</f>
        <v/>
      </c>
      <c r="N22">
        <f>VLOOKUP(C22, Stat_Matrix!$E$2:$N$7, 10, FALSE) + (VLOOKUP(B22, Stat_Matrix!$A$2:$C$5, 3, FALSE) * VLOOKUP(C22, Stat_Matrix!$P$2:$Y$7, 10, FALSE) + VLOOKUP(IF(ISBLANK(D22), "Character", D22), Stat_Matrix!$AA$2:$AE$4, 5, FALSE) + VLOOKUP(IF(ISBLANK(E22), "Balanced", E22), Stat_Matrix!$AG$2:$AP$6, 10, FALSE))</f>
        <v/>
      </c>
    </row>
    <row r="23">
      <c r="A23" s="11" t="inlineStr">
        <is>
          <t>SquidSolider</t>
        </is>
      </c>
      <c r="B23" s="17">
        <f>Character!C23</f>
        <v/>
      </c>
      <c r="C23" s="8">
        <f>Character!D23</f>
        <v/>
      </c>
      <c r="D23" s="37">
        <f>Character!E23</f>
        <v/>
      </c>
      <c r="E23" s="37" t="inlineStr">
        <is>
          <t>Heavy</t>
        </is>
      </c>
      <c r="F23" s="37">
        <f>ROUND(VLOOKUP(C23, Stat_Matrix!$E$2:$N$7, 2, FALSE) * VLOOKUP(B23, Stat_Matrix!$A$2:$B$5, 2, FALSE) * VLOOKUP(IF(ISBLANK(D23), "Character", D23), Stat_Matrix!$AA$2:$AD$4, 2, FALSE) * VLOOKUP(IF(ISBLANK(E23), "Balanced", E23), Stat_Matrix!$AG$2:$AP$6, 2, FALSE), 0)</f>
        <v/>
      </c>
      <c r="G23" s="37">
        <f>ROUND(VLOOKUP(C23, Stat_Matrix!$E$2:$N$7, 3, FALSE) * VLOOKUP(B23, Stat_Matrix!$A$2:$B$5, 2, FALSE) * VLOOKUP(IF(ISBLANK(D23), "Character", D23), Stat_Matrix!$AA$2:$AD$4, 3, FALSE) * VLOOKUP(IF(ISBLANK(E23), "Balanced", E23), Stat_Matrix!$AG$2:$AP$6, 3, FALSE), 0)</f>
        <v/>
      </c>
      <c r="H23" s="37">
        <f>ROUND(VLOOKUP(C23, Stat_Matrix!$E$2:$N$7, 4, FALSE) * VLOOKUP(B23, Stat_Matrix!$A$2:$B$5, 2, FALSE) * VLOOKUP(IF(ISBLANK(D23), "Character", D23), Stat_Matrix!$AA$2:$AD$4, 4, FALSE) * VLOOKUP(IF(ISBLANK(E23), "Balanced", E23), Stat_Matrix!$AG$2:$AP$6, 4, FALSE), 0)</f>
        <v/>
      </c>
      <c r="I23" s="37">
        <f>VLOOKUP(C23, Stat_Matrix!$E$2:$N$7, 5, FALSE) + (VLOOKUP(B23, Stat_Matrix!$A$2:$C$5, 3, FALSE) * VLOOKUP(C23, Stat_Matrix!$P$2:$Y$7, 5, FALSE)) + VLOOKUP(IF(ISBLANK(E23), "Balanced", E23), Stat_Matrix!$AG$2:$AP$6, 5, FALSE)</f>
        <v/>
      </c>
      <c r="J23" s="37">
        <f>VLOOKUP(C23, Stat_Matrix!$E$2:$N$7, 8, FALSE) + (VLOOKUP(B23, Stat_Matrix!$A$2:$C$5, 3, FALSE) * VLOOKUP(C23, Stat_Matrix!$P$2:$Y$7, 8, FALSE)) + VLOOKUP(IF(ISBLANK(E23), "Balanced", E23), Stat_Matrix!$AG$2:$AP$6, 8, FALSE)</f>
        <v/>
      </c>
      <c r="K23" s="37">
        <f>VLOOKUP(C23, Stat_Matrix!$E$2:$N$7, 6, FALSE) + (VLOOKUP(B23, Stat_Matrix!$A$2:$C$5, 3, FALSE) * VLOOKUP(C23, Stat_Matrix!$P$2:$Y$7, 6, FALSE)) + VLOOKUP(IF(ISBLANK(E23), "Balanced", E23), Stat_Matrix!$AG$2:$AP$6, 6, FALSE)</f>
        <v/>
      </c>
      <c r="L23" s="37">
        <f>VLOOKUP(C23, Stat_Matrix!$E$2:$N$7, 7, FALSE) + (VLOOKUP(B23, Stat_Matrix!$A$2:$C$5, 3, FALSE) * VLOOKUP(C23, Stat_Matrix!$P$2:$Y$7, 7, FALSE)) + VLOOKUP(IF(ISBLANK(E23), "Balanced", E23), Stat_Matrix!$AG$2:$AP$6, 7, FALSE)</f>
        <v/>
      </c>
      <c r="M23">
        <f>VLOOKUP(C23, Stat_Matrix!$E$2:$N$7, 9, FALSE) + (VLOOKUP(B23, Stat_Matrix!$A$2:$C$5, 3, FALSE) * VLOOKUP(C23, Stat_Matrix!$P$2:$Y$7, 9, FALSE)) + VLOOKUP(IF(ISBLANK(E23), "Balanced", E23), Stat_Matrix!$AG$2:$AP$6, 9, FALSE)</f>
        <v/>
      </c>
      <c r="N23">
        <f>VLOOKUP(C23, Stat_Matrix!$E$2:$N$7, 10, FALSE) + (VLOOKUP(B23, Stat_Matrix!$A$2:$C$5, 3, FALSE) * VLOOKUP(C23, Stat_Matrix!$P$2:$Y$7, 10, FALSE) + VLOOKUP(IF(ISBLANK(D23), "Character", D23), Stat_Matrix!$AA$2:$AE$4, 5, FALSE) + VLOOKUP(IF(ISBLANK(E23), "Balanced", E23), Stat_Matrix!$AG$2:$AP$6, 10, FALSE))</f>
        <v/>
      </c>
    </row>
    <row r="24">
      <c r="A24" s="11" t="inlineStr">
        <is>
          <t>Benborba</t>
        </is>
      </c>
      <c r="B24" s="17">
        <f>Character!C24</f>
        <v/>
      </c>
      <c r="C24" s="8">
        <f>Character!D24</f>
        <v/>
      </c>
      <c r="D24" s="37">
        <f>Character!E24</f>
        <v/>
      </c>
      <c r="E24" s="37" t="inlineStr">
        <is>
          <t>Balanced</t>
        </is>
      </c>
      <c r="F24" s="37">
        <f>ROUND(VLOOKUP(C24, Stat_Matrix!$E$2:$N$7, 2, FALSE) * VLOOKUP(B24, Stat_Matrix!$A$2:$B$5, 2, FALSE) * VLOOKUP(IF(ISBLANK(D24), "Character", D24), Stat_Matrix!$AA$2:$AD$4, 2, FALSE) * VLOOKUP(IF(ISBLANK(E24), "Balanced", E24), Stat_Matrix!$AG$2:$AP$6, 2, FALSE), 0)</f>
        <v/>
      </c>
      <c r="G24" s="37">
        <f>ROUND(VLOOKUP(C24, Stat_Matrix!$E$2:$N$7, 3, FALSE) * VLOOKUP(B24, Stat_Matrix!$A$2:$B$5, 2, FALSE) * VLOOKUP(IF(ISBLANK(D24), "Character", D24), Stat_Matrix!$AA$2:$AD$4, 3, FALSE) * VLOOKUP(IF(ISBLANK(E24), "Balanced", E24), Stat_Matrix!$AG$2:$AP$6, 3, FALSE), 0)</f>
        <v/>
      </c>
      <c r="H24" s="37">
        <f>ROUND(VLOOKUP(C24, Stat_Matrix!$E$2:$N$7, 4, FALSE) * VLOOKUP(B24, Stat_Matrix!$A$2:$B$5, 2, FALSE) * VLOOKUP(IF(ISBLANK(D24), "Character", D24), Stat_Matrix!$AA$2:$AD$4, 4, FALSE) * VLOOKUP(IF(ISBLANK(E24), "Balanced", E24), Stat_Matrix!$AG$2:$AP$6, 4, FALSE), 0)</f>
        <v/>
      </c>
      <c r="I24" s="37">
        <f>VLOOKUP(C24, Stat_Matrix!$E$2:$N$7, 5, FALSE) + (VLOOKUP(B24, Stat_Matrix!$A$2:$C$5, 3, FALSE) * VLOOKUP(C24, Stat_Matrix!$P$2:$Y$7, 5, FALSE)) + VLOOKUP(IF(ISBLANK(E24), "Balanced", E24), Stat_Matrix!$AG$2:$AP$6, 5, FALSE)</f>
        <v/>
      </c>
      <c r="J24" s="37">
        <f>VLOOKUP(C24, Stat_Matrix!$E$2:$N$7, 8, FALSE) + (VLOOKUP(B24, Stat_Matrix!$A$2:$C$5, 3, FALSE) * VLOOKUP(C24, Stat_Matrix!$P$2:$Y$7, 8, FALSE)) + VLOOKUP(IF(ISBLANK(E24), "Balanced", E24), Stat_Matrix!$AG$2:$AP$6, 8, FALSE)</f>
        <v/>
      </c>
      <c r="K24" s="37">
        <f>VLOOKUP(C24, Stat_Matrix!$E$2:$N$7, 6, FALSE) + (VLOOKUP(B24, Stat_Matrix!$A$2:$C$5, 3, FALSE) * VLOOKUP(C24, Stat_Matrix!$P$2:$Y$7, 6, FALSE)) + VLOOKUP(IF(ISBLANK(E24), "Balanced", E24), Stat_Matrix!$AG$2:$AP$6, 6, FALSE)</f>
        <v/>
      </c>
      <c r="L24" s="37">
        <f>VLOOKUP(C24, Stat_Matrix!$E$2:$N$7, 7, FALSE) + (VLOOKUP(B24, Stat_Matrix!$A$2:$C$5, 3, FALSE) * VLOOKUP(C24, Stat_Matrix!$P$2:$Y$7, 7, FALSE)) + VLOOKUP(IF(ISBLANK(E24), "Balanced", E24), Stat_Matrix!$AG$2:$AP$6, 7, FALSE)</f>
        <v/>
      </c>
      <c r="M24">
        <f>VLOOKUP(C24, Stat_Matrix!$E$2:$N$7, 9, FALSE) + (VLOOKUP(B24, Stat_Matrix!$A$2:$C$5, 3, FALSE) * VLOOKUP(C24, Stat_Matrix!$P$2:$Y$7, 9, FALSE)) + VLOOKUP(IF(ISBLANK(E24), "Balanced", E24), Stat_Matrix!$AG$2:$AP$6, 9, FALSE)</f>
        <v/>
      </c>
      <c r="N24">
        <f>VLOOKUP(C24, Stat_Matrix!$E$2:$N$7, 10, FALSE) + (VLOOKUP(B24, Stat_Matrix!$A$2:$C$5, 3, FALSE) * VLOOKUP(C24, Stat_Matrix!$P$2:$Y$7, 10, FALSE) + VLOOKUP(IF(ISBLANK(D24), "Character", D24), Stat_Matrix!$AA$2:$AE$4, 5, FALSE) + VLOOKUP(IF(ISBLANK(E24), "Balanced", E24), Stat_Matrix!$AG$2:$AP$6, 10, FALSE))</f>
        <v/>
      </c>
    </row>
    <row r="25">
      <c r="A25" s="11" t="inlineStr">
        <is>
          <t>Baborben</t>
        </is>
      </c>
      <c r="B25" s="17">
        <f>Character!C25</f>
        <v/>
      </c>
      <c r="C25" s="8">
        <f>Character!D25</f>
        <v/>
      </c>
      <c r="D25" s="37">
        <f>Character!E25</f>
        <v/>
      </c>
      <c r="E25" s="37" t="inlineStr">
        <is>
          <t>Balanced</t>
        </is>
      </c>
      <c r="F25" s="37">
        <f>ROUND(VLOOKUP(C25, Stat_Matrix!$E$2:$N$7, 2, FALSE) * VLOOKUP(B25, Stat_Matrix!$A$2:$B$5, 2, FALSE) * VLOOKUP(IF(ISBLANK(D25), "Character", D25), Stat_Matrix!$AA$2:$AD$4, 2, FALSE) * VLOOKUP(IF(ISBLANK(E25), "Balanced", E25), Stat_Matrix!$AG$2:$AP$6, 2, FALSE), 0)</f>
        <v/>
      </c>
      <c r="G25" s="37">
        <f>ROUND(VLOOKUP(C25, Stat_Matrix!$E$2:$N$7, 3, FALSE) * VLOOKUP(B25, Stat_Matrix!$A$2:$B$5, 2, FALSE) * VLOOKUP(IF(ISBLANK(D25), "Character", D25), Stat_Matrix!$AA$2:$AD$4, 3, FALSE) * VLOOKUP(IF(ISBLANK(E25), "Balanced", E25), Stat_Matrix!$AG$2:$AP$6, 3, FALSE), 0)</f>
        <v/>
      </c>
      <c r="H25" s="37">
        <f>ROUND(VLOOKUP(C25, Stat_Matrix!$E$2:$N$7, 4, FALSE) * VLOOKUP(B25, Stat_Matrix!$A$2:$B$5, 2, FALSE) * VLOOKUP(IF(ISBLANK(D25), "Character", D25), Stat_Matrix!$AA$2:$AD$4, 4, FALSE) * VLOOKUP(IF(ISBLANK(E25), "Balanced", E25), Stat_Matrix!$AG$2:$AP$6, 4, FALSE), 0)</f>
        <v/>
      </c>
      <c r="I25" s="37">
        <f>VLOOKUP(C25, Stat_Matrix!$E$2:$N$7, 5, FALSE) + (VLOOKUP(B25, Stat_Matrix!$A$2:$C$5, 3, FALSE) * VLOOKUP(C25, Stat_Matrix!$P$2:$Y$7, 5, FALSE)) + VLOOKUP(IF(ISBLANK(E25), "Balanced", E25), Stat_Matrix!$AG$2:$AP$6, 5, FALSE)</f>
        <v/>
      </c>
      <c r="J25" s="37">
        <f>VLOOKUP(C25, Stat_Matrix!$E$2:$N$7, 8, FALSE) + (VLOOKUP(B25, Stat_Matrix!$A$2:$C$5, 3, FALSE) * VLOOKUP(C25, Stat_Matrix!$P$2:$Y$7, 8, FALSE)) + VLOOKUP(IF(ISBLANK(E25), "Balanced", E25), Stat_Matrix!$AG$2:$AP$6, 8, FALSE)</f>
        <v/>
      </c>
      <c r="K25" s="37">
        <f>VLOOKUP(C25, Stat_Matrix!$E$2:$N$7, 6, FALSE) + (VLOOKUP(B25, Stat_Matrix!$A$2:$C$5, 3, FALSE) * VLOOKUP(C25, Stat_Matrix!$P$2:$Y$7, 6, FALSE)) + VLOOKUP(IF(ISBLANK(E25), "Balanced", E25), Stat_Matrix!$AG$2:$AP$6, 6, FALSE)</f>
        <v/>
      </c>
      <c r="L25" s="37">
        <f>VLOOKUP(C25, Stat_Matrix!$E$2:$N$7, 7, FALSE) + (VLOOKUP(B25, Stat_Matrix!$A$2:$C$5, 3, FALSE) * VLOOKUP(C25, Stat_Matrix!$P$2:$Y$7, 7, FALSE)) + VLOOKUP(IF(ISBLANK(E25), "Balanced", E25), Stat_Matrix!$AG$2:$AP$6, 7, FALSE)</f>
        <v/>
      </c>
      <c r="M25">
        <f>VLOOKUP(C25, Stat_Matrix!$E$2:$N$7, 9, FALSE) + (VLOOKUP(B25, Stat_Matrix!$A$2:$C$5, 3, FALSE) * VLOOKUP(C25, Stat_Matrix!$P$2:$Y$7, 9, FALSE)) + VLOOKUP(IF(ISBLANK(E25), "Balanced", E25), Stat_Matrix!$AG$2:$AP$6, 9, FALSE)</f>
        <v/>
      </c>
      <c r="N25">
        <f>VLOOKUP(C25, Stat_Matrix!$E$2:$N$7, 10, FALSE) + (VLOOKUP(B25, Stat_Matrix!$A$2:$C$5, 3, FALSE) * VLOOKUP(C25, Stat_Matrix!$P$2:$Y$7, 10, FALSE) + VLOOKUP(IF(ISBLANK(D25), "Character", D25), Stat_Matrix!$AA$2:$AE$4, 5, FALSE) + VLOOKUP(IF(ISBLANK(E25), "Balanced", E25), Stat_Matrix!$AG$2:$AP$6, 10, FALSE))</f>
        <v/>
      </c>
    </row>
    <row r="26">
      <c r="A26" t="inlineStr">
        <is>
          <t>LiJing</t>
        </is>
      </c>
      <c r="B26" s="14">
        <f>Character!C26</f>
        <v/>
      </c>
      <c r="C26" s="40">
        <f>Character!D26</f>
        <v/>
      </c>
      <c r="D26" s="26">
        <f>Character!E26</f>
        <v/>
      </c>
      <c r="E26" s="37" t="inlineStr">
        <is>
          <t>Defensive</t>
        </is>
      </c>
      <c r="F26" s="37">
        <f>ROUND(VLOOKUP(C26, Stat_Matrix!$E$2:$N$7, 2, FALSE) * VLOOKUP(B26, Stat_Matrix!$A$2:$B$5, 2, FALSE) * VLOOKUP(IF(ISBLANK(D26), "Character", D26), Stat_Matrix!$AA$2:$AD$4, 2, FALSE) * VLOOKUP(IF(ISBLANK(E26), "Balanced", E26), Stat_Matrix!$AG$2:$AP$6, 2, FALSE), 0)</f>
        <v/>
      </c>
      <c r="G26" s="37">
        <f>ROUND(VLOOKUP(C26, Stat_Matrix!$E$2:$N$7, 3, FALSE) * VLOOKUP(B26, Stat_Matrix!$A$2:$B$5, 2, FALSE) * VLOOKUP(IF(ISBLANK(D26), "Character", D26), Stat_Matrix!$AA$2:$AD$4, 3, FALSE) * VLOOKUP(IF(ISBLANK(E26), "Balanced", E26), Stat_Matrix!$AG$2:$AP$6, 3, FALSE), 0)</f>
        <v/>
      </c>
      <c r="H26" s="37">
        <f>ROUND(VLOOKUP(C26, Stat_Matrix!$E$2:$N$7, 4, FALSE) * VLOOKUP(B26, Stat_Matrix!$A$2:$B$5, 2, FALSE) * VLOOKUP(IF(ISBLANK(D26), "Character", D26), Stat_Matrix!$AA$2:$AD$4, 4, FALSE) * VLOOKUP(IF(ISBLANK(E26), "Balanced", E26), Stat_Matrix!$AG$2:$AP$6, 4, FALSE), 0)</f>
        <v/>
      </c>
      <c r="I26" s="37">
        <f>VLOOKUP(C26, Stat_Matrix!$E$2:$N$7, 5, FALSE) + (VLOOKUP(B26, Stat_Matrix!$A$2:$C$5, 3, FALSE) * VLOOKUP(C26, Stat_Matrix!$P$2:$Y$7, 5, FALSE)) + VLOOKUP(IF(ISBLANK(E26), "Balanced", E26), Stat_Matrix!$AG$2:$AP$6, 5, FALSE)</f>
        <v/>
      </c>
      <c r="J26" s="37">
        <f>VLOOKUP(C26, Stat_Matrix!$E$2:$N$7, 8, FALSE) + (VLOOKUP(B26, Stat_Matrix!$A$2:$C$5, 3, FALSE) * VLOOKUP(C26, Stat_Matrix!$P$2:$Y$7, 8, FALSE)) + VLOOKUP(IF(ISBLANK(E26), "Balanced", E26), Stat_Matrix!$AG$2:$AP$6, 8, FALSE)</f>
        <v/>
      </c>
      <c r="K26" s="37">
        <f>VLOOKUP(C26, Stat_Matrix!$E$2:$N$7, 6, FALSE) + (VLOOKUP(B26, Stat_Matrix!$A$2:$C$5, 3, FALSE) * VLOOKUP(C26, Stat_Matrix!$P$2:$Y$7, 6, FALSE)) + VLOOKUP(IF(ISBLANK(E26), "Balanced", E26), Stat_Matrix!$AG$2:$AP$6, 6, FALSE)</f>
        <v/>
      </c>
      <c r="L26" s="37">
        <f>VLOOKUP(C26, Stat_Matrix!$E$2:$N$7, 7, FALSE) + (VLOOKUP(B26, Stat_Matrix!$A$2:$C$5, 3, FALSE) * VLOOKUP(C26, Stat_Matrix!$P$2:$Y$7, 7, FALSE)) + VLOOKUP(IF(ISBLANK(E26), "Balanced", E26), Stat_Matrix!$AG$2:$AP$6, 7, FALSE)</f>
        <v/>
      </c>
      <c r="M26">
        <f>VLOOKUP(C26, Stat_Matrix!$E$2:$N$7, 9, FALSE) + (VLOOKUP(B26, Stat_Matrix!$A$2:$C$5, 3, FALSE) * VLOOKUP(C26, Stat_Matrix!$P$2:$Y$7, 9, FALSE)) + VLOOKUP(IF(ISBLANK(E26), "Balanced", E26), Stat_Matrix!$AG$2:$AP$6, 9, FALSE)</f>
        <v/>
      </c>
      <c r="N26">
        <f>VLOOKUP(C26, Stat_Matrix!$E$2:$N$7, 10, FALSE) + (VLOOKUP(B26, Stat_Matrix!$A$2:$C$5, 3, FALSE) * VLOOKUP(C26, Stat_Matrix!$P$2:$Y$7, 10, FALSE) + VLOOKUP(IF(ISBLANK(D26), "Character", D26), Stat_Matrix!$AA$2:$AE$4, 5, FALSE) + VLOOKUP(IF(ISBLANK(E26), "Balanced", E26), Stat_Matrix!$AG$2:$AP$6, 10, FALSE))</f>
        <v/>
      </c>
    </row>
    <row r="27">
      <c r="A27" t="inlineStr">
        <is>
          <t>MarshalTianpeng</t>
        </is>
      </c>
      <c r="B27" s="14">
        <f>Character!C27</f>
        <v/>
      </c>
      <c r="C27" s="40">
        <f>Character!D27</f>
        <v/>
      </c>
      <c r="D27" s="7">
        <f>Character!E27</f>
        <v/>
      </c>
      <c r="E27" s="37" t="inlineStr">
        <is>
          <t>Heavy</t>
        </is>
      </c>
      <c r="F27" s="37">
        <f>ROUND(VLOOKUP(C27, Stat_Matrix!$E$2:$N$7, 2, FALSE) * VLOOKUP(B27, Stat_Matrix!$A$2:$B$5, 2, FALSE) * VLOOKUP(IF(ISBLANK(D27), "Character", D27), Stat_Matrix!$AA$2:$AD$4, 2, FALSE) * VLOOKUP(IF(ISBLANK(E27), "Balanced", E27), Stat_Matrix!$AG$2:$AP$6, 2, FALSE), 0)</f>
        <v/>
      </c>
      <c r="G27" s="37">
        <f>ROUND(VLOOKUP(C27, Stat_Matrix!$E$2:$N$7, 3, FALSE) * VLOOKUP(B27, Stat_Matrix!$A$2:$B$5, 2, FALSE) * VLOOKUP(IF(ISBLANK(D27), "Character", D27), Stat_Matrix!$AA$2:$AD$4, 3, FALSE) * VLOOKUP(IF(ISBLANK(E27), "Balanced", E27), Stat_Matrix!$AG$2:$AP$6, 3, FALSE), 0)</f>
        <v/>
      </c>
      <c r="H27" s="37">
        <f>ROUND(VLOOKUP(C27, Stat_Matrix!$E$2:$N$7, 4, FALSE) * VLOOKUP(B27, Stat_Matrix!$A$2:$B$5, 2, FALSE) * VLOOKUP(IF(ISBLANK(D27), "Character", D27), Stat_Matrix!$AA$2:$AD$4, 4, FALSE) * VLOOKUP(IF(ISBLANK(E27), "Balanced", E27), Stat_Matrix!$AG$2:$AP$6, 4, FALSE), 0)</f>
        <v/>
      </c>
      <c r="I27" s="37">
        <f>VLOOKUP(C27, Stat_Matrix!$E$2:$N$7, 5, FALSE) + (VLOOKUP(B27, Stat_Matrix!$A$2:$C$5, 3, FALSE) * VLOOKUP(C27, Stat_Matrix!$P$2:$Y$7, 5, FALSE)) + VLOOKUP(IF(ISBLANK(E27), "Balanced", E27), Stat_Matrix!$AG$2:$AP$6, 5, FALSE)</f>
        <v/>
      </c>
      <c r="J27" s="37">
        <f>VLOOKUP(C27, Stat_Matrix!$E$2:$N$7, 8, FALSE) + (VLOOKUP(B27, Stat_Matrix!$A$2:$C$5, 3, FALSE) * VLOOKUP(C27, Stat_Matrix!$P$2:$Y$7, 8, FALSE)) + VLOOKUP(IF(ISBLANK(E27), "Balanced", E27), Stat_Matrix!$AG$2:$AP$6, 8, FALSE)</f>
        <v/>
      </c>
      <c r="K27" s="37">
        <f>VLOOKUP(C27, Stat_Matrix!$E$2:$N$7, 6, FALSE) + (VLOOKUP(B27, Stat_Matrix!$A$2:$C$5, 3, FALSE) * VLOOKUP(C27, Stat_Matrix!$P$2:$Y$7, 6, FALSE)) + VLOOKUP(IF(ISBLANK(E27), "Balanced", E27), Stat_Matrix!$AG$2:$AP$6, 6, FALSE)</f>
        <v/>
      </c>
      <c r="L27" s="37">
        <f>VLOOKUP(C27, Stat_Matrix!$E$2:$N$7, 7, FALSE) + (VLOOKUP(B27, Stat_Matrix!$A$2:$C$5, 3, FALSE) * VLOOKUP(C27, Stat_Matrix!$P$2:$Y$7, 7, FALSE)) + VLOOKUP(IF(ISBLANK(E27), "Balanced", E27), Stat_Matrix!$AG$2:$AP$6, 7, FALSE)</f>
        <v/>
      </c>
      <c r="M27">
        <f>VLOOKUP(C27, Stat_Matrix!$E$2:$N$7, 9, FALSE) + (VLOOKUP(B27, Stat_Matrix!$A$2:$C$5, 3, FALSE) * VLOOKUP(C27, Stat_Matrix!$P$2:$Y$7, 9, FALSE)) + VLOOKUP(IF(ISBLANK(E27), "Balanced", E27), Stat_Matrix!$AG$2:$AP$6, 9, FALSE)</f>
        <v/>
      </c>
      <c r="N27">
        <f>VLOOKUP(C27, Stat_Matrix!$E$2:$N$7, 10, FALSE) + (VLOOKUP(B27, Stat_Matrix!$A$2:$C$5, 3, FALSE) * VLOOKUP(C27, Stat_Matrix!$P$2:$Y$7, 10, FALSE) + VLOOKUP(IF(ISBLANK(D27), "Character", D27), Stat_Matrix!$AA$2:$AE$4, 5, FALSE) + VLOOKUP(IF(ISBLANK(E27), "Balanced", E27), Stat_Matrix!$AG$2:$AP$6, 10, FALSE))</f>
        <v/>
      </c>
    </row>
    <row r="28">
      <c r="A28" t="inlineStr">
        <is>
          <t>ThirdPrinceNezha_Boss</t>
        </is>
      </c>
      <c r="B28" s="14">
        <f>Character!C28</f>
        <v/>
      </c>
      <c r="C28" s="25">
        <f>Character!D28</f>
        <v/>
      </c>
      <c r="D28" s="7">
        <f>Character!E28</f>
        <v/>
      </c>
      <c r="E28" s="37" t="inlineStr">
        <is>
          <t>Offensive</t>
        </is>
      </c>
      <c r="F28" s="37">
        <f>ROUND(VLOOKUP(C28, Stat_Matrix!$E$2:$N$7, 2, FALSE) * VLOOKUP(B28, Stat_Matrix!$A$2:$B$5, 2, FALSE) * VLOOKUP(IF(ISBLANK(D28), "Character", D28), Stat_Matrix!$AA$2:$AD$4, 2, FALSE) * VLOOKUP(IF(ISBLANK(E28), "Balanced", E28), Stat_Matrix!$AG$2:$AP$6, 2, FALSE), 0)</f>
        <v/>
      </c>
      <c r="G28" s="37">
        <f>ROUND(VLOOKUP(C28, Stat_Matrix!$E$2:$N$7, 3, FALSE) * VLOOKUP(B28, Stat_Matrix!$A$2:$B$5, 2, FALSE) * VLOOKUP(IF(ISBLANK(D28), "Character", D28), Stat_Matrix!$AA$2:$AD$4, 3, FALSE) * VLOOKUP(IF(ISBLANK(E28), "Balanced", E28), Stat_Matrix!$AG$2:$AP$6, 3, FALSE), 0)</f>
        <v/>
      </c>
      <c r="H28" s="37">
        <f>ROUND(VLOOKUP(C28, Stat_Matrix!$E$2:$N$7, 4, FALSE) * VLOOKUP(B28, Stat_Matrix!$A$2:$B$5, 2, FALSE) * VLOOKUP(IF(ISBLANK(D28), "Character", D28), Stat_Matrix!$AA$2:$AD$4, 4, FALSE) * VLOOKUP(IF(ISBLANK(E28), "Balanced", E28), Stat_Matrix!$AG$2:$AP$6, 4, FALSE), 0)</f>
        <v/>
      </c>
      <c r="I28" s="37">
        <f>VLOOKUP(C28, Stat_Matrix!$E$2:$N$7, 5, FALSE) + (VLOOKUP(B28, Stat_Matrix!$A$2:$C$5, 3, FALSE) * VLOOKUP(C28, Stat_Matrix!$P$2:$Y$7, 5, FALSE)) + VLOOKUP(IF(ISBLANK(E28), "Balanced", E28), Stat_Matrix!$AG$2:$AP$6, 5, FALSE)</f>
        <v/>
      </c>
      <c r="J28" s="37">
        <f>VLOOKUP(C28, Stat_Matrix!$E$2:$N$7, 8, FALSE) + (VLOOKUP(B28, Stat_Matrix!$A$2:$C$5, 3, FALSE) * VLOOKUP(C28, Stat_Matrix!$P$2:$Y$7, 8, FALSE)) + VLOOKUP(IF(ISBLANK(E28), "Balanced", E28), Stat_Matrix!$AG$2:$AP$6, 8, FALSE)</f>
        <v/>
      </c>
      <c r="K28" s="37">
        <f>VLOOKUP(C28, Stat_Matrix!$E$2:$N$7, 6, FALSE) + (VLOOKUP(B28, Stat_Matrix!$A$2:$C$5, 3, FALSE) * VLOOKUP(C28, Stat_Matrix!$P$2:$Y$7, 6, FALSE)) + VLOOKUP(IF(ISBLANK(E28), "Balanced", E28), Stat_Matrix!$AG$2:$AP$6, 6, FALSE)</f>
        <v/>
      </c>
      <c r="L28" s="37">
        <f>VLOOKUP(C28, Stat_Matrix!$E$2:$N$7, 7, FALSE) + (VLOOKUP(B28, Stat_Matrix!$A$2:$C$5, 3, FALSE) * VLOOKUP(C28, Stat_Matrix!$P$2:$Y$7, 7, FALSE)) + VLOOKUP(IF(ISBLANK(E28), "Balanced", E28), Stat_Matrix!$AG$2:$AP$6, 7, FALSE)</f>
        <v/>
      </c>
      <c r="M28">
        <f>VLOOKUP(C28, Stat_Matrix!$E$2:$N$7, 9, FALSE) + (VLOOKUP(B28, Stat_Matrix!$A$2:$C$5, 3, FALSE) * VLOOKUP(C28, Stat_Matrix!$P$2:$Y$7, 9, FALSE)) + VLOOKUP(IF(ISBLANK(E28), "Balanced", E28), Stat_Matrix!$AG$2:$AP$6, 9, FALSE)</f>
        <v/>
      </c>
      <c r="N28">
        <f>VLOOKUP(C28, Stat_Matrix!$E$2:$N$7, 10, FALSE) + (VLOOKUP(B28, Stat_Matrix!$A$2:$C$5, 3, FALSE) * VLOOKUP(C28, Stat_Matrix!$P$2:$Y$7, 10, FALSE) + VLOOKUP(IF(ISBLANK(D28), "Character", D28), Stat_Matrix!$AA$2:$AE$4, 5, FALSE) + VLOOKUP(IF(ISBLANK(E28), "Balanced", E28), Stat_Matrix!$AG$2:$AP$6, 10, FALSE))</f>
        <v/>
      </c>
    </row>
    <row r="29">
      <c r="A29" t="inlineStr">
        <is>
          <t>BullDemonKing_Boss</t>
        </is>
      </c>
      <c r="B29" s="2">
        <f>Character!C29</f>
        <v/>
      </c>
      <c r="C29" s="40">
        <f>Character!D29</f>
        <v/>
      </c>
      <c r="D29" s="7">
        <f>Character!E29</f>
        <v/>
      </c>
      <c r="E29" s="37" t="inlineStr">
        <is>
          <t>Defensive</t>
        </is>
      </c>
      <c r="F29" s="37">
        <f>ROUND(VLOOKUP(C29, Stat_Matrix!$E$2:$N$7, 2, FALSE) * VLOOKUP(B29, Stat_Matrix!$A$2:$B$5, 2, FALSE) * VLOOKUP(IF(ISBLANK(D29), "Character", D29), Stat_Matrix!$AA$2:$AD$4, 2, FALSE) * VLOOKUP(IF(ISBLANK(E29), "Balanced", E29), Stat_Matrix!$AG$2:$AP$6, 2, FALSE), 0)</f>
        <v/>
      </c>
      <c r="G29" s="37">
        <f>ROUND(VLOOKUP(C29, Stat_Matrix!$E$2:$N$7, 3, FALSE) * VLOOKUP(B29, Stat_Matrix!$A$2:$B$5, 2, FALSE) * VLOOKUP(IF(ISBLANK(D29), "Character", D29), Stat_Matrix!$AA$2:$AD$4, 3, FALSE) * VLOOKUP(IF(ISBLANK(E29), "Balanced", E29), Stat_Matrix!$AG$2:$AP$6, 3, FALSE), 0)</f>
        <v/>
      </c>
      <c r="H29" s="37">
        <f>ROUND(VLOOKUP(C29, Stat_Matrix!$E$2:$N$7, 4, FALSE) * VLOOKUP(B29, Stat_Matrix!$A$2:$B$5, 2, FALSE) * VLOOKUP(IF(ISBLANK(D29), "Character", D29), Stat_Matrix!$AA$2:$AD$4, 4, FALSE) * VLOOKUP(IF(ISBLANK(E29), "Balanced", E29), Stat_Matrix!$AG$2:$AP$6, 4, FALSE), 0)</f>
        <v/>
      </c>
      <c r="I29" s="37">
        <f>VLOOKUP(C29, Stat_Matrix!$E$2:$N$7, 5, FALSE) + (VLOOKUP(B29, Stat_Matrix!$A$2:$C$5, 3, FALSE) * VLOOKUP(C29, Stat_Matrix!$P$2:$Y$7, 5, FALSE)) + VLOOKUP(IF(ISBLANK(E29), "Balanced", E29), Stat_Matrix!$AG$2:$AP$6, 5, FALSE)</f>
        <v/>
      </c>
      <c r="J29" s="37">
        <f>VLOOKUP(C29, Stat_Matrix!$E$2:$N$7, 8, FALSE) + (VLOOKUP(B29, Stat_Matrix!$A$2:$C$5, 3, FALSE) * VLOOKUP(C29, Stat_Matrix!$P$2:$Y$7, 8, FALSE)) + VLOOKUP(IF(ISBLANK(E29), "Balanced", E29), Stat_Matrix!$AG$2:$AP$6, 8, FALSE)</f>
        <v/>
      </c>
      <c r="K29" s="37">
        <f>VLOOKUP(C29, Stat_Matrix!$E$2:$N$7, 6, FALSE) + (VLOOKUP(B29, Stat_Matrix!$A$2:$C$5, 3, FALSE) * VLOOKUP(C29, Stat_Matrix!$P$2:$Y$7, 6, FALSE)) + VLOOKUP(IF(ISBLANK(E29), "Balanced", E29), Stat_Matrix!$AG$2:$AP$6, 6, FALSE)</f>
        <v/>
      </c>
      <c r="L29" s="37">
        <f>VLOOKUP(C29, Stat_Matrix!$E$2:$N$7, 7, FALSE) + (VLOOKUP(B29, Stat_Matrix!$A$2:$C$5, 3, FALSE) * VLOOKUP(C29, Stat_Matrix!$P$2:$Y$7, 7, FALSE)) + VLOOKUP(IF(ISBLANK(E29), "Balanced", E29), Stat_Matrix!$AG$2:$AP$6, 7, FALSE)</f>
        <v/>
      </c>
      <c r="M29">
        <f>VLOOKUP(C29, Stat_Matrix!$E$2:$N$7, 9, FALSE) + (VLOOKUP(B29, Stat_Matrix!$A$2:$C$5, 3, FALSE) * VLOOKUP(C29, Stat_Matrix!$P$2:$Y$7, 9, FALSE)) + VLOOKUP(IF(ISBLANK(E29), "Balanced", E29), Stat_Matrix!$AG$2:$AP$6, 9, FALSE)</f>
        <v/>
      </c>
      <c r="N29">
        <f>VLOOKUP(C29, Stat_Matrix!$E$2:$N$7, 10, FALSE) + (VLOOKUP(B29, Stat_Matrix!$A$2:$C$5, 3, FALSE) * VLOOKUP(C29, Stat_Matrix!$P$2:$Y$7, 10, FALSE) + VLOOKUP(IF(ISBLANK(D29), "Character", D29), Stat_Matrix!$AA$2:$AE$4, 5, FALSE) + VLOOKUP(IF(ISBLANK(E29), "Balanced", E29), Stat_Matrix!$AG$2:$AP$6, 10, FALSE))</f>
        <v/>
      </c>
    </row>
    <row r="30">
      <c r="A30" t="inlineStr">
        <is>
          <t>ErlangShen_Boss</t>
        </is>
      </c>
      <c r="B30" s="2">
        <f>Character!C30</f>
        <v/>
      </c>
      <c r="C30" s="8">
        <f>Character!D30</f>
        <v/>
      </c>
      <c r="D30" s="7">
        <f>Character!E30</f>
        <v/>
      </c>
      <c r="E30" s="37" t="inlineStr">
        <is>
          <t>Balanced</t>
        </is>
      </c>
      <c r="F30" s="37">
        <f>ROUND(VLOOKUP(C30, Stat_Matrix!$E$2:$N$7, 2, FALSE) * VLOOKUP(B30, Stat_Matrix!$A$2:$B$5, 2, FALSE) * VLOOKUP(IF(ISBLANK(D30), "Character", D30), Stat_Matrix!$AA$2:$AD$4, 2, FALSE) * VLOOKUP(IF(ISBLANK(E30), "Balanced", E30), Stat_Matrix!$AG$2:$AP$6, 2, FALSE), 0)</f>
        <v/>
      </c>
      <c r="G30" s="37">
        <f>ROUND(VLOOKUP(C30, Stat_Matrix!$E$2:$N$7, 3, FALSE) * VLOOKUP(B30, Stat_Matrix!$A$2:$B$5, 2, FALSE) * VLOOKUP(IF(ISBLANK(D30), "Character", D30), Stat_Matrix!$AA$2:$AD$4, 3, FALSE) * VLOOKUP(IF(ISBLANK(E30), "Balanced", E30), Stat_Matrix!$AG$2:$AP$6, 3, FALSE), 0)</f>
        <v/>
      </c>
      <c r="H30" s="37">
        <f>ROUND(VLOOKUP(C30, Stat_Matrix!$E$2:$N$7, 4, FALSE) * VLOOKUP(B30, Stat_Matrix!$A$2:$B$5, 2, FALSE) * VLOOKUP(IF(ISBLANK(D30), "Character", D30), Stat_Matrix!$AA$2:$AD$4, 4, FALSE) * VLOOKUP(IF(ISBLANK(E30), "Balanced", E30), Stat_Matrix!$AG$2:$AP$6, 4, FALSE), 0)</f>
        <v/>
      </c>
      <c r="I30" s="37">
        <f>VLOOKUP(C30, Stat_Matrix!$E$2:$N$7, 5, FALSE) + (VLOOKUP(B30, Stat_Matrix!$A$2:$C$5, 3, FALSE) * VLOOKUP(C30, Stat_Matrix!$P$2:$Y$7, 5, FALSE)) + VLOOKUP(IF(ISBLANK(E30), "Balanced", E30), Stat_Matrix!$AG$2:$AP$6, 5, FALSE)</f>
        <v/>
      </c>
      <c r="J30" s="37">
        <f>VLOOKUP(C30, Stat_Matrix!$E$2:$N$7, 8, FALSE) + (VLOOKUP(B30, Stat_Matrix!$A$2:$C$5, 3, FALSE) * VLOOKUP(C30, Stat_Matrix!$P$2:$Y$7, 8, FALSE)) + VLOOKUP(IF(ISBLANK(E30), "Balanced", E30), Stat_Matrix!$AG$2:$AP$6, 8, FALSE)</f>
        <v/>
      </c>
      <c r="K30" s="37">
        <f>VLOOKUP(C30, Stat_Matrix!$E$2:$N$7, 6, FALSE) + (VLOOKUP(B30, Stat_Matrix!$A$2:$C$5, 3, FALSE) * VLOOKUP(C30, Stat_Matrix!$P$2:$Y$7, 6, FALSE)) + VLOOKUP(IF(ISBLANK(E30), "Balanced", E30), Stat_Matrix!$AG$2:$AP$6, 6, FALSE)</f>
        <v/>
      </c>
      <c r="L30" s="37">
        <f>VLOOKUP(C30, Stat_Matrix!$E$2:$N$7, 7, FALSE) + (VLOOKUP(B30, Stat_Matrix!$A$2:$C$5, 3, FALSE) * VLOOKUP(C30, Stat_Matrix!$P$2:$Y$7, 7, FALSE)) + VLOOKUP(IF(ISBLANK(E30), "Balanced", E30), Stat_Matrix!$AG$2:$AP$6, 7, FALSE)</f>
        <v/>
      </c>
      <c r="M30">
        <f>VLOOKUP(C30, Stat_Matrix!$E$2:$N$7, 9, FALSE) + (VLOOKUP(B30, Stat_Matrix!$A$2:$C$5, 3, FALSE) * VLOOKUP(C30, Stat_Matrix!$P$2:$Y$7, 9, FALSE)) + VLOOKUP(IF(ISBLANK(E30), "Balanced", E30), Stat_Matrix!$AG$2:$AP$6, 9, FALSE)</f>
        <v/>
      </c>
      <c r="N30">
        <f>VLOOKUP(C30, Stat_Matrix!$E$2:$N$7, 10, FALSE) + (VLOOKUP(B30, Stat_Matrix!$A$2:$C$5, 3, FALSE) * VLOOKUP(C30, Stat_Matrix!$P$2:$Y$7, 10, FALSE) + VLOOKUP(IF(ISBLANK(D30), "Character", D30), Stat_Matrix!$AA$2:$AE$4, 5, FALSE) + VLOOKUP(IF(ISBLANK(E30), "Balanced", E30), Stat_Matrix!$AG$2:$AP$6, 10, FALSE))</f>
        <v/>
      </c>
    </row>
    <row r="31">
      <c r="A31" t="inlineStr">
        <is>
          <t>LiJing_Boss</t>
        </is>
      </c>
      <c r="B31" s="14">
        <f>Character!C31</f>
        <v/>
      </c>
      <c r="C31" s="40">
        <f>Character!D31</f>
        <v/>
      </c>
      <c r="D31" s="7">
        <f>Character!E31</f>
        <v/>
      </c>
      <c r="E31" s="37" t="inlineStr">
        <is>
          <t>Defensive</t>
        </is>
      </c>
      <c r="F31" s="37">
        <f>ROUND(VLOOKUP(C31, Stat_Matrix!$E$2:$N$7, 2, FALSE) * VLOOKUP(B31, Stat_Matrix!$A$2:$B$5, 2, FALSE) * VLOOKUP(IF(ISBLANK(D31), "Character", D31), Stat_Matrix!$AA$2:$AD$4, 2, FALSE) * VLOOKUP(IF(ISBLANK(E31), "Balanced", E31), Stat_Matrix!$AG$2:$AP$6, 2, FALSE), 0)</f>
        <v/>
      </c>
      <c r="G31" s="37">
        <f>ROUND(VLOOKUP(C31, Stat_Matrix!$E$2:$N$7, 3, FALSE) * VLOOKUP(B31, Stat_Matrix!$A$2:$B$5, 2, FALSE) * VLOOKUP(IF(ISBLANK(D31), "Character", D31), Stat_Matrix!$AA$2:$AD$4, 3, FALSE) * VLOOKUP(IF(ISBLANK(E31), "Balanced", E31), Stat_Matrix!$AG$2:$AP$6, 3, FALSE), 0)</f>
        <v/>
      </c>
      <c r="H31" s="37">
        <f>ROUND(VLOOKUP(C31, Stat_Matrix!$E$2:$N$7, 4, FALSE) * VLOOKUP(B31, Stat_Matrix!$A$2:$B$5, 2, FALSE) * VLOOKUP(IF(ISBLANK(D31), "Character", D31), Stat_Matrix!$AA$2:$AD$4, 4, FALSE) * VLOOKUP(IF(ISBLANK(E31), "Balanced", E31), Stat_Matrix!$AG$2:$AP$6, 4, FALSE), 0)</f>
        <v/>
      </c>
      <c r="I31" s="37">
        <f>VLOOKUP(C31, Stat_Matrix!$E$2:$N$7, 5, FALSE) + (VLOOKUP(B31, Stat_Matrix!$A$2:$C$5, 3, FALSE) * VLOOKUP(C31, Stat_Matrix!$P$2:$Y$7, 5, FALSE)) + VLOOKUP(IF(ISBLANK(E31), "Balanced", E31), Stat_Matrix!$AG$2:$AP$6, 5, FALSE)</f>
        <v/>
      </c>
      <c r="J31" s="37">
        <f>VLOOKUP(C31, Stat_Matrix!$E$2:$N$7, 8, FALSE) + (VLOOKUP(B31, Stat_Matrix!$A$2:$C$5, 3, FALSE) * VLOOKUP(C31, Stat_Matrix!$P$2:$Y$7, 8, FALSE)) + VLOOKUP(IF(ISBLANK(E31), "Balanced", E31), Stat_Matrix!$AG$2:$AP$6, 8, FALSE)</f>
        <v/>
      </c>
      <c r="K31" s="37">
        <f>VLOOKUP(C31, Stat_Matrix!$E$2:$N$7, 6, FALSE) + (VLOOKUP(B31, Stat_Matrix!$A$2:$C$5, 3, FALSE) * VLOOKUP(C31, Stat_Matrix!$P$2:$Y$7, 6, FALSE)) + VLOOKUP(IF(ISBLANK(E31), "Balanced", E31), Stat_Matrix!$AG$2:$AP$6, 6, FALSE)</f>
        <v/>
      </c>
      <c r="L31" s="37">
        <f>VLOOKUP(C31, Stat_Matrix!$E$2:$N$7, 7, FALSE) + (VLOOKUP(B31, Stat_Matrix!$A$2:$C$5, 3, FALSE) * VLOOKUP(C31, Stat_Matrix!$P$2:$Y$7, 7, FALSE)) + VLOOKUP(IF(ISBLANK(E31), "Balanced", E31), Stat_Matrix!$AG$2:$AP$6, 7, FALSE)</f>
        <v/>
      </c>
      <c r="M31">
        <f>VLOOKUP(C31, Stat_Matrix!$E$2:$N$7, 9, FALSE) + (VLOOKUP(B31, Stat_Matrix!$A$2:$C$5, 3, FALSE) * VLOOKUP(C31, Stat_Matrix!$P$2:$Y$7, 9, FALSE)) + VLOOKUP(IF(ISBLANK(E31), "Balanced", E31), Stat_Matrix!$AG$2:$AP$6, 9, FALSE)</f>
        <v/>
      </c>
      <c r="N31">
        <f>VLOOKUP(C31, Stat_Matrix!$E$2:$N$7, 10, FALSE) + (VLOOKUP(B31, Stat_Matrix!$A$2:$C$5, 3, FALSE) * VLOOKUP(C31, Stat_Matrix!$P$2:$Y$7, 10, FALSE) + VLOOKUP(IF(ISBLANK(D31), "Character", D31), Stat_Matrix!$AA$2:$AE$4, 5, FALSE) + VLOOKUP(IF(ISBLANK(E31), "Balanced", E31), Stat_Matrix!$AG$2:$AP$6, 10, FALSE))</f>
        <v/>
      </c>
    </row>
    <row r="32">
      <c r="A32" t="inlineStr">
        <is>
          <t>ThirdDragonPrince</t>
        </is>
      </c>
      <c r="B32" s="2">
        <f>Character!C32</f>
        <v/>
      </c>
      <c r="C32" s="8">
        <f>Character!D32</f>
        <v/>
      </c>
      <c r="D32" s="7">
        <f>Character!E32</f>
        <v/>
      </c>
      <c r="E32" s="37" t="inlineStr">
        <is>
          <t>Balanced</t>
        </is>
      </c>
      <c r="F32" s="37">
        <f>ROUND(VLOOKUP(C32, Stat_Matrix!$E$2:$N$7, 2, FALSE) * VLOOKUP(B32, Stat_Matrix!$A$2:$B$5, 2, FALSE) * VLOOKUP(IF(ISBLANK(D32), "Character", D32), Stat_Matrix!$AA$2:$AD$4, 2, FALSE) * VLOOKUP(IF(ISBLANK(E32), "Balanced", E32), Stat_Matrix!$AG$2:$AP$6, 2, FALSE), 0)</f>
        <v/>
      </c>
      <c r="G32" s="37">
        <f>ROUND(VLOOKUP(C32, Stat_Matrix!$E$2:$N$7, 3, FALSE) * VLOOKUP(B32, Stat_Matrix!$A$2:$B$5, 2, FALSE) * VLOOKUP(IF(ISBLANK(D32), "Character", D32), Stat_Matrix!$AA$2:$AD$4, 3, FALSE) * VLOOKUP(IF(ISBLANK(E32), "Balanced", E32), Stat_Matrix!$AG$2:$AP$6, 3, FALSE), 0)</f>
        <v/>
      </c>
      <c r="H32" s="37">
        <f>ROUND(VLOOKUP(C32, Stat_Matrix!$E$2:$N$7, 4, FALSE) * VLOOKUP(B32, Stat_Matrix!$A$2:$B$5, 2, FALSE) * VLOOKUP(IF(ISBLANK(D32), "Character", D32), Stat_Matrix!$AA$2:$AD$4, 4, FALSE) * VLOOKUP(IF(ISBLANK(E32), "Balanced", E32), Stat_Matrix!$AG$2:$AP$6, 4, FALSE), 0)</f>
        <v/>
      </c>
      <c r="I32" s="37">
        <f>VLOOKUP(C32, Stat_Matrix!$E$2:$N$7, 5, FALSE) + (VLOOKUP(B32, Stat_Matrix!$A$2:$C$5, 3, FALSE) * VLOOKUP(C32, Stat_Matrix!$P$2:$Y$7, 5, FALSE)) + VLOOKUP(IF(ISBLANK(E32), "Balanced", E32), Stat_Matrix!$AG$2:$AP$6, 5, FALSE)</f>
        <v/>
      </c>
      <c r="J32" s="37">
        <f>VLOOKUP(C32, Stat_Matrix!$E$2:$N$7, 8, FALSE) + (VLOOKUP(B32, Stat_Matrix!$A$2:$C$5, 3, FALSE) * VLOOKUP(C32, Stat_Matrix!$P$2:$Y$7, 8, FALSE)) + VLOOKUP(IF(ISBLANK(E32), "Balanced", E32), Stat_Matrix!$AG$2:$AP$6, 8, FALSE)</f>
        <v/>
      </c>
      <c r="K32" s="37">
        <f>VLOOKUP(C32, Stat_Matrix!$E$2:$N$7, 6, FALSE) + (VLOOKUP(B32, Stat_Matrix!$A$2:$C$5, 3, FALSE) * VLOOKUP(C32, Stat_Matrix!$P$2:$Y$7, 6, FALSE)) + VLOOKUP(IF(ISBLANK(E32), "Balanced", E32), Stat_Matrix!$AG$2:$AP$6, 6, FALSE)</f>
        <v/>
      </c>
      <c r="L32" s="37">
        <f>VLOOKUP(C32, Stat_Matrix!$E$2:$N$7, 7, FALSE) + (VLOOKUP(B32, Stat_Matrix!$A$2:$C$5, 3, FALSE) * VLOOKUP(C32, Stat_Matrix!$P$2:$Y$7, 7, FALSE)) + VLOOKUP(IF(ISBLANK(E32), "Balanced", E32), Stat_Matrix!$AG$2:$AP$6, 7, FALSE)</f>
        <v/>
      </c>
      <c r="M32">
        <f>VLOOKUP(C32, Stat_Matrix!$E$2:$N$7, 9, FALSE) + (VLOOKUP(B32, Stat_Matrix!$A$2:$C$5, 3, FALSE) * VLOOKUP(C32, Stat_Matrix!$P$2:$Y$7, 9, FALSE)) + VLOOKUP(IF(ISBLANK(E32), "Balanced", E32), Stat_Matrix!$AG$2:$AP$6, 9, FALSE)</f>
        <v/>
      </c>
      <c r="N32">
        <f>VLOOKUP(C32, Stat_Matrix!$E$2:$N$7, 10, FALSE) + (VLOOKUP(B32, Stat_Matrix!$A$2:$C$5, 3, FALSE) * VLOOKUP(C32, Stat_Matrix!$P$2:$Y$7, 10, FALSE) + VLOOKUP(IF(ISBLANK(D32), "Character", D32), Stat_Matrix!$AA$2:$AE$4, 5, FALSE) + VLOOKUP(IF(ISBLANK(E32), "Balanced", E32), Stat_Matrix!$AG$2:$AP$6, 10, FALSE))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5"/>
  <sheetViews>
    <sheetView topLeftCell="C14" zoomScale="130" zoomScaleNormal="130" workbookViewId="0">
      <selection activeCell="E38" sqref="E38"/>
    </sheetView>
  </sheetViews>
  <sheetFormatPr baseColWidth="8" defaultRowHeight="15"/>
  <cols>
    <col width="24.85546875" customWidth="1" style="35" min="1" max="1"/>
    <col width="29" customWidth="1" style="35" min="2" max="2"/>
    <col width="24.85546875" customWidth="1" style="35" min="3" max="3"/>
    <col width="17.85546875" customWidth="1" style="35" min="4" max="4"/>
    <col width="17.7109375" customWidth="1" style="35" min="5" max="5"/>
    <col width="23.42578125" customWidth="1" style="35" min="6" max="6"/>
    <col width="16.85546875" customWidth="1" style="35" min="7" max="7"/>
    <col width="16.5703125" customWidth="1" style="35" min="8" max="8"/>
    <col width="15.140625" bestFit="1" customWidth="1" style="35" min="9" max="9"/>
    <col width="26.42578125" customWidth="1" style="35" min="10" max="10"/>
    <col width="24.85546875" bestFit="1" customWidth="1" style="35" min="11" max="11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Type</t>
        </is>
      </c>
      <c r="E1" s="16" t="inlineStr">
        <is>
          <t>DamageMultiplier</t>
        </is>
      </c>
      <c r="F1" s="16" t="inlineStr">
        <is>
          <t>MaxCooldown</t>
        </is>
      </c>
      <c r="G1" s="16" t="inlineStr">
        <is>
          <t>SkillType</t>
        </is>
      </c>
      <c r="H1" s="16" t="inlineStr">
        <is>
          <t>TargetType</t>
        </is>
      </c>
      <c r="I1" s="16" t="inlineStr">
        <is>
          <t>Effect</t>
        </is>
      </c>
      <c r="J1" s="16" t="inlineStr">
        <is>
          <t>Sound</t>
        </is>
      </c>
      <c r="K1" s="16" t="inlineStr">
        <is>
          <t>PassiveID</t>
        </is>
      </c>
    </row>
    <row r="2">
      <c r="A2" t="inlineStr">
        <is>
          <t>SunWukong_B</t>
        </is>
      </c>
      <c r="B2" t="inlineStr">
        <is>
          <t>SunWukong_B_Name</t>
        </is>
      </c>
      <c r="C2" t="inlineStr">
        <is>
          <t>SunWukong_B_Des</t>
        </is>
      </c>
      <c r="D2" s="37" t="inlineStr">
        <is>
          <t>Melee</t>
        </is>
      </c>
      <c r="E2" s="37" t="inlineStr">
        <is>
          <t>0.8, 0.9, 1.0</t>
        </is>
      </c>
      <c r="F2" s="37" t="inlineStr">
        <is>
          <t>0, 0, 0</t>
        </is>
      </c>
      <c r="G2" s="37" t="inlineStr">
        <is>
          <t>BasicAttack</t>
        </is>
      </c>
      <c r="H2" s="37" t="inlineStr">
        <is>
          <t>SingleEnemy</t>
        </is>
      </c>
      <c r="I2" s="36" t="inlineStr">
        <is>
          <t>None</t>
        </is>
      </c>
      <c r="J2" s="28" t="inlineStr">
        <is>
          <t>SunWukong_Attack</t>
        </is>
      </c>
      <c r="K2" s="37" t="inlineStr">
        <is>
          <t>None</t>
        </is>
      </c>
    </row>
    <row r="3">
      <c r="A3" t="inlineStr">
        <is>
          <t>SunWukong_M</t>
        </is>
      </c>
      <c r="B3" t="inlineStr">
        <is>
          <t>SunWukong_M_Name</t>
        </is>
      </c>
      <c r="C3" t="inlineStr">
        <is>
          <t>SunWukong_M_Des</t>
        </is>
      </c>
      <c r="D3" s="37" t="inlineStr">
        <is>
          <t>Summon</t>
        </is>
      </c>
      <c r="E3" s="37" t="inlineStr">
        <is>
          <t>0.6, 0.75, 0.9</t>
        </is>
      </c>
      <c r="F3" s="37" t="inlineStr">
        <is>
          <t>4.0, 4.0, 3.0</t>
        </is>
      </c>
      <c r="G3" s="37" t="inlineStr">
        <is>
          <t>ActiveSkill</t>
        </is>
      </c>
      <c r="H3" s="37" t="inlineStr">
        <is>
          <t>AllEnemies</t>
        </is>
      </c>
      <c r="I3" s="36" t="inlineStr">
        <is>
          <t>None</t>
        </is>
      </c>
      <c r="J3" s="28" t="inlineStr">
        <is>
          <t>Wind_Blow</t>
        </is>
      </c>
      <c r="K3" s="42" t="inlineStr">
        <is>
          <t>psv_sunwukong_major</t>
        </is>
      </c>
    </row>
    <row r="4">
      <c r="A4" t="inlineStr">
        <is>
          <t>SunWukong_U</t>
        </is>
      </c>
      <c r="B4" t="inlineStr">
        <is>
          <t>SunWukong_U_Name</t>
        </is>
      </c>
      <c r="C4" t="inlineStr">
        <is>
          <t>SunWukong_U_Des</t>
        </is>
      </c>
      <c r="D4" s="36" t="inlineStr">
        <is>
          <t>EmpowerAttack</t>
        </is>
      </c>
      <c r="E4" s="37" t="inlineStr">
        <is>
          <t>1.8, 2.0, 2.2</t>
        </is>
      </c>
      <c r="F4" s="37" t="inlineStr">
        <is>
          <t>5.0, 5.0, 4.0</t>
        </is>
      </c>
      <c r="G4" s="37" t="inlineStr">
        <is>
          <t>ActiveSkill</t>
        </is>
      </c>
      <c r="H4" s="37" t="inlineStr">
        <is>
          <t>SingleEnemy</t>
        </is>
      </c>
      <c r="I4" s="36" t="inlineStr">
        <is>
          <t>None</t>
        </is>
      </c>
      <c r="J4" s="28" t="inlineStr">
        <is>
          <t>SunWukong_Main</t>
        </is>
      </c>
      <c r="K4" s="37" t="inlineStr">
        <is>
          <t>None</t>
        </is>
      </c>
    </row>
    <row r="5">
      <c r="A5" s="10" t="inlineStr">
        <is>
          <t>TangSanZang_B</t>
        </is>
      </c>
      <c r="B5" t="inlineStr">
        <is>
          <t>TangSanZang_B_Name</t>
        </is>
      </c>
      <c r="C5" t="inlineStr">
        <is>
          <t>TangSanZang_B_Des</t>
        </is>
      </c>
      <c r="D5" s="7" t="inlineStr">
        <is>
          <t>Range</t>
        </is>
      </c>
      <c r="E5" s="37" t="inlineStr">
        <is>
          <t>0.8, 1, 1.2</t>
        </is>
      </c>
      <c r="F5" s="37" t="inlineStr">
        <is>
          <t>0, 0, 0</t>
        </is>
      </c>
      <c r="G5" s="37" t="inlineStr">
        <is>
          <t>BasicAttack</t>
        </is>
      </c>
      <c r="H5" s="37" t="inlineStr">
        <is>
          <t>SingleEnemy</t>
        </is>
      </c>
      <c r="I5" s="36" t="inlineStr">
        <is>
          <t>None</t>
        </is>
      </c>
      <c r="J5" s="28" t="inlineStr">
        <is>
          <t>TangSanZang_Attack</t>
        </is>
      </c>
      <c r="K5" s="37" t="inlineStr">
        <is>
          <t>None</t>
        </is>
      </c>
    </row>
    <row r="6">
      <c r="A6" s="10" t="inlineStr">
        <is>
          <t>TangSanZang_M</t>
        </is>
      </c>
      <c r="B6" t="inlineStr">
        <is>
          <t>TangSanZang_M_Name</t>
        </is>
      </c>
      <c r="C6" t="inlineStr">
        <is>
          <t>TangSanZang_M_Des</t>
        </is>
      </c>
      <c r="D6" s="7" t="inlineStr">
        <is>
          <t>BuffShield</t>
        </is>
      </c>
      <c r="E6" s="37" t="inlineStr">
        <is>
          <t>1, 1.5, 1.5</t>
        </is>
      </c>
      <c r="F6" s="37" t="inlineStr">
        <is>
          <t>4.0, 4.0, 3.0</t>
        </is>
      </c>
      <c r="G6" t="inlineStr">
        <is>
          <t>NonAttackSkill</t>
        </is>
      </c>
      <c r="H6" s="37" t="inlineStr">
        <is>
          <t>Self</t>
        </is>
      </c>
      <c r="I6" s="36" t="inlineStr">
        <is>
          <t>None</t>
        </is>
      </c>
      <c r="J6" s="28" t="inlineStr">
        <is>
          <t>TangSanZang_Major</t>
        </is>
      </c>
      <c r="K6" s="37" t="inlineStr">
        <is>
          <t>None</t>
        </is>
      </c>
    </row>
    <row r="7">
      <c r="A7" s="10" t="inlineStr">
        <is>
          <t>TangSanZang_U</t>
        </is>
      </c>
      <c r="B7" t="inlineStr">
        <is>
          <t>TangSanZang_U_Name</t>
        </is>
      </c>
      <c r="C7" t="inlineStr">
        <is>
          <t>TangSanZang_U_Des</t>
        </is>
      </c>
      <c r="D7" s="2" t="inlineStr">
        <is>
          <t>EmpowerAttack</t>
        </is>
      </c>
      <c r="E7" s="37" t="inlineStr">
        <is>
          <t>1.5, 1.8, 1.8</t>
        </is>
      </c>
      <c r="F7" s="37" t="inlineStr">
        <is>
          <t>5.0, 5.0, 4.0</t>
        </is>
      </c>
      <c r="G7" s="37" t="inlineStr">
        <is>
          <t>ActiveSkill</t>
        </is>
      </c>
      <c r="H7" s="37" t="inlineStr">
        <is>
          <t>SingleEnemy</t>
        </is>
      </c>
      <c r="I7" t="inlineStr">
        <is>
          <t>EFF_Stun_def</t>
        </is>
      </c>
      <c r="J7" s="28" t="inlineStr">
        <is>
          <t>TangSanZang_Main</t>
        </is>
      </c>
      <c r="K7" s="37" t="inlineStr">
        <is>
          <t>None</t>
        </is>
      </c>
    </row>
    <row r="8">
      <c r="A8" t="inlineStr">
        <is>
          <t>ZhuBaJie_B</t>
        </is>
      </c>
      <c r="B8" t="inlineStr">
        <is>
          <t>ZhuBaJie_B_Name</t>
        </is>
      </c>
      <c r="C8" t="inlineStr">
        <is>
          <t>ZhuBaJie_B_Des</t>
        </is>
      </c>
      <c r="D8" s="37" t="inlineStr">
        <is>
          <t>Melee</t>
        </is>
      </c>
      <c r="E8" s="37" t="inlineStr">
        <is>
          <t>0.8, 1, 1.2</t>
        </is>
      </c>
      <c r="F8" s="37" t="inlineStr">
        <is>
          <t>0, 0, 0</t>
        </is>
      </c>
      <c r="G8" s="37" t="inlineStr">
        <is>
          <t>BasicAttack</t>
        </is>
      </c>
      <c r="H8" s="37" t="inlineStr">
        <is>
          <t>SingleEnemy</t>
        </is>
      </c>
      <c r="I8" s="36" t="inlineStr">
        <is>
          <t>None</t>
        </is>
      </c>
      <c r="J8" s="28" t="inlineStr">
        <is>
          <t>ZhuBaJie_Attack</t>
        </is>
      </c>
      <c r="K8" s="37" t="inlineStr">
        <is>
          <t>None</t>
        </is>
      </c>
    </row>
    <row r="9">
      <c r="A9" t="inlineStr">
        <is>
          <t>ZhuBaJie_M</t>
        </is>
      </c>
      <c r="B9" t="inlineStr">
        <is>
          <t>ZhuBaJie_M_Name</t>
        </is>
      </c>
      <c r="C9" t="inlineStr">
        <is>
          <t>ZhuBaJie_M_Des</t>
        </is>
      </c>
      <c r="D9" s="37" t="inlineStr">
        <is>
          <t>BuffShield</t>
        </is>
      </c>
      <c r="E9" s="37" t="inlineStr">
        <is>
          <t>0.25, 0.3, 0.35</t>
        </is>
      </c>
      <c r="F9" s="37" t="inlineStr">
        <is>
          <t>4.0, 4.0, 3.0</t>
        </is>
      </c>
      <c r="G9" t="inlineStr">
        <is>
          <t>NonAttackSkill</t>
        </is>
      </c>
      <c r="H9" s="37" t="inlineStr">
        <is>
          <t>Self</t>
        </is>
      </c>
      <c r="I9" s="36" t="inlineStr">
        <is>
          <t>None</t>
        </is>
      </c>
      <c r="J9" s="28" t="inlineStr">
        <is>
          <t>ZhuBaJie_Major</t>
        </is>
      </c>
      <c r="K9" s="37" t="inlineStr">
        <is>
          <t>None</t>
        </is>
      </c>
    </row>
    <row r="10">
      <c r="A10" t="inlineStr">
        <is>
          <t>ZhuBaJie_U</t>
        </is>
      </c>
      <c r="B10" t="inlineStr">
        <is>
          <t>ZhuBaJie_U_Name</t>
        </is>
      </c>
      <c r="C10" t="inlineStr">
        <is>
          <t>ZhuBaJie_U_Des</t>
        </is>
      </c>
      <c r="D10" s="36" t="inlineStr">
        <is>
          <t>EmpowerAttack</t>
        </is>
      </c>
      <c r="E10" s="37" t="inlineStr">
        <is>
          <t>1.5, 1.8, 1.8</t>
        </is>
      </c>
      <c r="F10" s="37" t="inlineStr">
        <is>
          <t>5.0, 5.0, 4.0</t>
        </is>
      </c>
      <c r="G10" s="37" t="inlineStr">
        <is>
          <t>ActiveSkill</t>
        </is>
      </c>
      <c r="H10" s="37" t="inlineStr">
        <is>
          <t>SingleEnemy</t>
        </is>
      </c>
      <c r="I10" s="36" t="inlineStr">
        <is>
          <t>None</t>
        </is>
      </c>
      <c r="J10" s="28" t="inlineStr">
        <is>
          <t>ZhuBaJie_Main</t>
        </is>
      </c>
      <c r="K10" s="37" t="inlineStr">
        <is>
          <t>None</t>
        </is>
      </c>
    </row>
    <row r="11">
      <c r="A11" s="10" t="inlineStr">
        <is>
          <t>ShaWujing_B</t>
        </is>
      </c>
      <c r="B11" t="inlineStr">
        <is>
          <t>ShaWujing_B_Name</t>
        </is>
      </c>
      <c r="C11" t="inlineStr">
        <is>
          <t>ShaWujing_B_Des</t>
        </is>
      </c>
      <c r="D11" s="7" t="inlineStr">
        <is>
          <t>Melee</t>
        </is>
      </c>
      <c r="E11" s="37" t="inlineStr">
        <is>
          <t>0.8, 1, 1.2</t>
        </is>
      </c>
      <c r="F11" s="37" t="inlineStr">
        <is>
          <t>0, 0, 0</t>
        </is>
      </c>
      <c r="G11" s="37" t="inlineStr">
        <is>
          <t>BasicAttack</t>
        </is>
      </c>
      <c r="H11" s="37" t="inlineStr">
        <is>
          <t>SingleEnemy</t>
        </is>
      </c>
      <c r="I11" s="36" t="inlineStr">
        <is>
          <t>None</t>
        </is>
      </c>
      <c r="J11" s="28" t="inlineStr">
        <is>
          <t>ShaWujing_Attack</t>
        </is>
      </c>
      <c r="K11" s="37" t="inlineStr">
        <is>
          <t>None</t>
        </is>
      </c>
    </row>
    <row r="12">
      <c r="A12" s="10" t="inlineStr">
        <is>
          <t>ShaWujing_M</t>
        </is>
      </c>
      <c r="B12" t="inlineStr">
        <is>
          <t>ShaWujing_M_Name</t>
        </is>
      </c>
      <c r="C12" t="inlineStr">
        <is>
          <t>ShaWujing_M_Des</t>
        </is>
      </c>
      <c r="D12" s="7" t="inlineStr">
        <is>
          <t>Healing</t>
        </is>
      </c>
      <c r="E12" s="37" t="inlineStr">
        <is>
          <t>1, 1.5, 1.5</t>
        </is>
      </c>
      <c r="F12" s="37" t="inlineStr">
        <is>
          <t>4.0, 4.0, 3.0</t>
        </is>
      </c>
      <c r="G12" t="inlineStr">
        <is>
          <t>NonAttackSkill</t>
        </is>
      </c>
      <c r="H12" s="37" t="inlineStr">
        <is>
          <t>Self</t>
        </is>
      </c>
      <c r="I12" t="inlineStr">
        <is>
          <t>EFF_BufDEF_def</t>
        </is>
      </c>
      <c r="J12" s="28" t="inlineStr">
        <is>
          <t>ShaWujing_Major</t>
        </is>
      </c>
      <c r="K12" s="37" t="inlineStr">
        <is>
          <t>None</t>
        </is>
      </c>
    </row>
    <row r="13">
      <c r="A13" s="10" t="inlineStr">
        <is>
          <t>ShaWujing_U</t>
        </is>
      </c>
      <c r="B13" t="inlineStr">
        <is>
          <t>ShaWujing_U_Name</t>
        </is>
      </c>
      <c r="C13" t="inlineStr">
        <is>
          <t>ShaWujing_U_Des</t>
        </is>
      </c>
      <c r="D13" s="2" t="inlineStr">
        <is>
          <t>EmpowerAttack</t>
        </is>
      </c>
      <c r="E13" s="37" t="inlineStr">
        <is>
          <t>1.5, 1.8, 1.8</t>
        </is>
      </c>
      <c r="F13" s="37" t="inlineStr">
        <is>
          <t>5.0, 5.0, 4.0</t>
        </is>
      </c>
      <c r="G13" s="37" t="inlineStr">
        <is>
          <t>ActiveSkill</t>
        </is>
      </c>
      <c r="H13" s="37" t="inlineStr">
        <is>
          <t>SingleEnemy</t>
        </is>
      </c>
      <c r="I13" s="36" t="inlineStr">
        <is>
          <t>None</t>
        </is>
      </c>
      <c r="J13" s="28" t="inlineStr">
        <is>
          <t>ShaWujing_Main</t>
        </is>
      </c>
      <c r="K13" s="37" t="inlineStr">
        <is>
          <t>None</t>
        </is>
      </c>
    </row>
    <row r="14">
      <c r="A14" s="23" t="inlineStr">
        <is>
          <t>DragonKing_B</t>
        </is>
      </c>
      <c r="B14" t="inlineStr">
        <is>
          <t>DragonKing_B_Name</t>
        </is>
      </c>
      <c r="C14" s="23" t="inlineStr">
        <is>
          <t>DragonKing_B_Des</t>
        </is>
      </c>
      <c r="D14" s="25" t="inlineStr">
        <is>
          <t>Melee</t>
        </is>
      </c>
      <c r="E14" s="37" t="inlineStr">
        <is>
          <t>0.8, 1, 1.2</t>
        </is>
      </c>
      <c r="F14" s="37" t="inlineStr">
        <is>
          <t>0, 0, 0</t>
        </is>
      </c>
      <c r="G14" s="37" t="inlineStr">
        <is>
          <t>BasicAttack</t>
        </is>
      </c>
      <c r="H14" s="37" t="inlineStr">
        <is>
          <t>SingleEnemy</t>
        </is>
      </c>
      <c r="I14" s="36" t="inlineStr">
        <is>
          <t>None</t>
        </is>
      </c>
      <c r="K14" s="37" t="inlineStr">
        <is>
          <t>None</t>
        </is>
      </c>
    </row>
    <row r="15">
      <c r="A15" s="23" t="inlineStr">
        <is>
          <t>DragonKing_M</t>
        </is>
      </c>
      <c r="B15" t="inlineStr">
        <is>
          <t>DragonKing_M_Name</t>
        </is>
      </c>
      <c r="C15" s="23" t="inlineStr">
        <is>
          <t>DragonKing_M_Des</t>
        </is>
      </c>
      <c r="D15" s="25" t="inlineStr">
        <is>
          <t>None</t>
        </is>
      </c>
      <c r="E15" s="37" t="inlineStr">
        <is>
          <t>1, 1.5, 1.5</t>
        </is>
      </c>
      <c r="F15" s="37" t="inlineStr">
        <is>
          <t>4.0, 4.0, 3.0</t>
        </is>
      </c>
      <c r="G15" s="37" t="inlineStr">
        <is>
          <t>ActiveSkill</t>
        </is>
      </c>
      <c r="H15" s="37" t="inlineStr">
        <is>
          <t>SingleEnemy</t>
        </is>
      </c>
      <c r="I15" s="36" t="inlineStr">
        <is>
          <t>None</t>
        </is>
      </c>
      <c r="K15" s="37" t="inlineStr">
        <is>
          <t>None</t>
        </is>
      </c>
    </row>
    <row r="16">
      <c r="A16" s="23" t="inlineStr">
        <is>
          <t>DragonKing_U</t>
        </is>
      </c>
      <c r="B16" t="inlineStr">
        <is>
          <t>DragonKing_U_Name</t>
        </is>
      </c>
      <c r="C16" s="23" t="inlineStr">
        <is>
          <t>DragonKing_U_Des</t>
        </is>
      </c>
      <c r="D16" s="25" t="inlineStr">
        <is>
          <t>None</t>
        </is>
      </c>
      <c r="E16" s="37" t="inlineStr">
        <is>
          <t>1.5, 1.8, 1.8</t>
        </is>
      </c>
      <c r="F16" s="37" t="inlineStr">
        <is>
          <t>5.0, 5.0, 4.0</t>
        </is>
      </c>
      <c r="G16" s="37" t="inlineStr">
        <is>
          <t>ActiveSkill</t>
        </is>
      </c>
      <c r="H16" s="37" t="inlineStr">
        <is>
          <t>SingleEnemy</t>
        </is>
      </c>
      <c r="I16" s="36" t="inlineStr">
        <is>
          <t>None</t>
        </is>
      </c>
      <c r="K16" s="37" t="inlineStr">
        <is>
          <t>None</t>
        </is>
      </c>
    </row>
    <row r="17">
      <c r="A17" t="inlineStr">
        <is>
          <t>ThirdPrinceNezha_B</t>
        </is>
      </c>
      <c r="B17" t="inlineStr">
        <is>
          <t>ThirdPrinceNezha_B_Name</t>
        </is>
      </c>
      <c r="C17" t="inlineStr">
        <is>
          <t>ThirdPrinceNezha_B_Des</t>
        </is>
      </c>
      <c r="D17" s="37" t="inlineStr">
        <is>
          <t>Melee</t>
        </is>
      </c>
      <c r="E17" s="37" t="inlineStr">
        <is>
          <t>0.8, 1, 1.2</t>
        </is>
      </c>
      <c r="F17" s="37" t="inlineStr">
        <is>
          <t>0, 0, 0</t>
        </is>
      </c>
      <c r="G17" s="37" t="inlineStr">
        <is>
          <t>BasicAttack</t>
        </is>
      </c>
      <c r="H17" s="37" t="inlineStr">
        <is>
          <t>SingleEnemy</t>
        </is>
      </c>
      <c r="I17" s="36" t="inlineStr">
        <is>
          <t>None</t>
        </is>
      </c>
      <c r="J17" t="inlineStr">
        <is>
          <t>ThirdPrinceNezha_Attack</t>
        </is>
      </c>
      <c r="K17" s="37" t="inlineStr">
        <is>
          <t>None</t>
        </is>
      </c>
    </row>
    <row r="18">
      <c r="A18" t="inlineStr">
        <is>
          <t>ThirdPrinceNezha_M</t>
        </is>
      </c>
      <c r="B18" t="inlineStr">
        <is>
          <t>ThirdPrinceNezha_M_Name</t>
        </is>
      </c>
      <c r="C18" t="inlineStr">
        <is>
          <t>ThirdPrinceNezha_M_Des</t>
        </is>
      </c>
      <c r="D18" s="37" t="inlineStr">
        <is>
          <t>FireRing</t>
        </is>
      </c>
      <c r="E18" s="37" t="inlineStr">
        <is>
          <t>1, 1.5, 1.5</t>
        </is>
      </c>
      <c r="F18" s="37" t="inlineStr">
        <is>
          <t>4.0, 4.0, 3.0</t>
        </is>
      </c>
      <c r="G18" s="37" t="inlineStr">
        <is>
          <t>ActiveSkill</t>
        </is>
      </c>
      <c r="H18" s="37" t="inlineStr">
        <is>
          <t>SingleEnemy</t>
        </is>
      </c>
      <c r="I18" s="36" t="inlineStr">
        <is>
          <t>None</t>
        </is>
      </c>
      <c r="J18" t="inlineStr">
        <is>
          <t>ThirdPrinceNezha_Major</t>
        </is>
      </c>
      <c r="K18" s="37" t="inlineStr">
        <is>
          <t>None</t>
        </is>
      </c>
    </row>
    <row r="19">
      <c r="A19" t="inlineStr">
        <is>
          <t>ThirdPrinceNezha_U</t>
        </is>
      </c>
      <c r="B19" t="inlineStr">
        <is>
          <t>ThirdPrinceNezha_U_Name</t>
        </is>
      </c>
      <c r="C19" t="inlineStr">
        <is>
          <t>ThirdPrinceNezha_U_Des</t>
        </is>
      </c>
      <c r="D19" s="36" t="inlineStr">
        <is>
          <t>EmpowerAttack</t>
        </is>
      </c>
      <c r="E19" s="37" t="inlineStr">
        <is>
          <t>1.5, 1.8, 1.8</t>
        </is>
      </c>
      <c r="F19" s="37" t="inlineStr">
        <is>
          <t>5.0, 5.0, 4.0</t>
        </is>
      </c>
      <c r="G19" s="37" t="inlineStr">
        <is>
          <t>ActiveSkill</t>
        </is>
      </c>
      <c r="H19" s="37" t="inlineStr">
        <is>
          <t>SingleEnemy</t>
        </is>
      </c>
      <c r="I19" s="36" t="inlineStr">
        <is>
          <t>None</t>
        </is>
      </c>
      <c r="J19" t="inlineStr">
        <is>
          <t>ThirdPrinceNezha_Main</t>
        </is>
      </c>
      <c r="K19" s="37" t="inlineStr">
        <is>
          <t>None</t>
        </is>
      </c>
    </row>
    <row r="20">
      <c r="A20" s="10" t="inlineStr">
        <is>
          <t>LittleWhiteDragon_B</t>
        </is>
      </c>
      <c r="B20" t="inlineStr">
        <is>
          <t>LittleWhiteDragon_B_Name</t>
        </is>
      </c>
      <c r="C20" t="inlineStr">
        <is>
          <t>LittleWhiteDragon_B_Des</t>
        </is>
      </c>
      <c r="D20" s="7" t="inlineStr">
        <is>
          <t>Melee</t>
        </is>
      </c>
      <c r="E20" s="37" t="inlineStr">
        <is>
          <t>0.8, 1, 1.2</t>
        </is>
      </c>
      <c r="F20" s="37" t="inlineStr">
        <is>
          <t>0, 0, 0</t>
        </is>
      </c>
      <c r="G20" s="37" t="inlineStr">
        <is>
          <t>BasicAttack</t>
        </is>
      </c>
      <c r="H20" s="37" t="inlineStr">
        <is>
          <t>SingleEnemy</t>
        </is>
      </c>
      <c r="I20" s="36" t="inlineStr">
        <is>
          <t>None</t>
        </is>
      </c>
      <c r="J20" t="inlineStr">
        <is>
          <t>LittleWhiteDragon_Attack</t>
        </is>
      </c>
      <c r="K20" s="37" t="inlineStr">
        <is>
          <t>None</t>
        </is>
      </c>
    </row>
    <row r="21">
      <c r="A21" s="10" t="inlineStr">
        <is>
          <t>LittleWhiteDragon_M</t>
        </is>
      </c>
      <c r="B21" t="inlineStr">
        <is>
          <t>LittleWhiteDragon_M_Name</t>
        </is>
      </c>
      <c r="C21" t="inlineStr">
        <is>
          <t>LittleWhiteDragon_M_Des</t>
        </is>
      </c>
      <c r="D21" s="7" t="inlineStr">
        <is>
          <t>ThunderBall</t>
        </is>
      </c>
      <c r="E21" s="37" t="inlineStr">
        <is>
          <t>1, 1.5, 1.5</t>
        </is>
      </c>
      <c r="F21" s="37" t="inlineStr">
        <is>
          <t>4.0, 4.0, 3.0</t>
        </is>
      </c>
      <c r="G21" s="37" t="inlineStr">
        <is>
          <t>ActiveSkill</t>
        </is>
      </c>
      <c r="H21" s="37" t="inlineStr">
        <is>
          <t>SingleEnemy</t>
        </is>
      </c>
      <c r="I21" s="36" t="inlineStr">
        <is>
          <t>None</t>
        </is>
      </c>
      <c r="J21" t="inlineStr">
        <is>
          <t>LittleWhiteDragon_Major</t>
        </is>
      </c>
      <c r="K21" s="37" t="inlineStr">
        <is>
          <t>None</t>
        </is>
      </c>
    </row>
    <row r="22">
      <c r="A22" s="10" t="inlineStr">
        <is>
          <t>LittleWhiteDragon_U</t>
        </is>
      </c>
      <c r="B22" t="inlineStr">
        <is>
          <t>LittleWhiteDragon_U_Name</t>
        </is>
      </c>
      <c r="C22" t="inlineStr">
        <is>
          <t>LittleWhiteDragon_U_Des</t>
        </is>
      </c>
      <c r="D22" s="2" t="inlineStr">
        <is>
          <t>EmpowerAttack</t>
        </is>
      </c>
      <c r="E22" s="37" t="inlineStr">
        <is>
          <t>1.5, 1.8, 1.8</t>
        </is>
      </c>
      <c r="F22" s="37" t="inlineStr">
        <is>
          <t>5.0, 5.0, 4.0</t>
        </is>
      </c>
      <c r="G22" s="37" t="inlineStr">
        <is>
          <t>ActiveSkill</t>
        </is>
      </c>
      <c r="H22" s="37" t="inlineStr">
        <is>
          <t>SingleEnemy</t>
        </is>
      </c>
      <c r="I22" s="36" t="inlineStr">
        <is>
          <t>None</t>
        </is>
      </c>
      <c r="J22" t="inlineStr">
        <is>
          <t>LittleWhiteDragon_Main</t>
        </is>
      </c>
      <c r="K22" s="37" t="inlineStr">
        <is>
          <t>None</t>
        </is>
      </c>
    </row>
    <row r="23">
      <c r="A23" t="inlineStr">
        <is>
          <t>BullDemonKing_B</t>
        </is>
      </c>
      <c r="B23" t="inlineStr">
        <is>
          <t>BullDemonKing_B_Name</t>
        </is>
      </c>
      <c r="C23" s="13" t="inlineStr">
        <is>
          <t>BullDemonKing_B_Des</t>
        </is>
      </c>
      <c r="D23" s="37" t="inlineStr">
        <is>
          <t>Melee</t>
        </is>
      </c>
      <c r="E23" s="37" t="inlineStr">
        <is>
          <t>1, 1.2, 1.5</t>
        </is>
      </c>
      <c r="F23" s="37" t="inlineStr">
        <is>
          <t>0, 0, 0</t>
        </is>
      </c>
      <c r="G23" s="37" t="inlineStr">
        <is>
          <t>BasicAttack</t>
        </is>
      </c>
      <c r="H23" s="37" t="inlineStr">
        <is>
          <t>SingleEnemy</t>
        </is>
      </c>
      <c r="I23" s="36" t="inlineStr">
        <is>
          <t>None</t>
        </is>
      </c>
      <c r="J23" t="inlineStr">
        <is>
          <t>VanguardTiger_Attack</t>
        </is>
      </c>
      <c r="K23" s="37" t="inlineStr">
        <is>
          <t>psv_bulldemonking_counter</t>
        </is>
      </c>
    </row>
    <row r="24">
      <c r="A24" t="inlineStr">
        <is>
          <t>BullDemonKing_M</t>
        </is>
      </c>
      <c r="B24" t="inlineStr">
        <is>
          <t>BullDemonKing_M_Name</t>
        </is>
      </c>
      <c r="C24" s="13" t="inlineStr">
        <is>
          <t>BullDemonKing_M_Des</t>
        </is>
      </c>
      <c r="D24" s="37" t="inlineStr">
        <is>
          <t>StatModifier</t>
        </is>
      </c>
      <c r="E24" s="37" t="inlineStr">
        <is>
          <t>0.3, 0.4, 0.5</t>
        </is>
      </c>
      <c r="F24" s="37" t="inlineStr">
        <is>
          <t>4.0, 4.0, 3.0</t>
        </is>
      </c>
      <c r="G24" s="37" t="inlineStr">
        <is>
          <t>ActiveSkill</t>
        </is>
      </c>
      <c r="H24" s="37" t="inlineStr">
        <is>
          <t>Self</t>
        </is>
      </c>
      <c r="I24" t="inlineStr">
        <is>
          <t>EFF_Bull_Buff_ATK</t>
        </is>
      </c>
      <c r="J24" s="37" t="inlineStr">
        <is>
          <t>BullDemonKing_Major</t>
        </is>
      </c>
      <c r="K24" s="37" t="inlineStr">
        <is>
          <t>None</t>
        </is>
      </c>
    </row>
    <row r="25">
      <c r="A25" t="inlineStr">
        <is>
          <t>BullDemonKing_U</t>
        </is>
      </c>
      <c r="B25" t="inlineStr">
        <is>
          <t>BullDemonKing_U_Name</t>
        </is>
      </c>
      <c r="C25" s="13" t="inlineStr">
        <is>
          <t>BullDemonKing_U_Des</t>
        </is>
      </c>
      <c r="D25" s="36" t="inlineStr">
        <is>
          <t>PoisonBall</t>
        </is>
      </c>
      <c r="E25" s="37" t="inlineStr">
        <is>
          <t>2.5, 3.0, 3.5</t>
        </is>
      </c>
      <c r="F25" s="37" t="inlineStr">
        <is>
          <t>5.0, 5.0, 4.0</t>
        </is>
      </c>
      <c r="G25" s="37" t="inlineStr">
        <is>
          <t>ActiveSkill</t>
        </is>
      </c>
      <c r="H25" s="37" t="inlineStr">
        <is>
          <t>SingleEnemy</t>
        </is>
      </c>
      <c r="I25" t="inlineStr">
        <is>
          <t>EFF_Bull_Poison</t>
        </is>
      </c>
      <c r="J25" s="37" t="inlineStr">
        <is>
          <t>BullDemonKing_Main</t>
        </is>
      </c>
      <c r="K25" s="37" t="inlineStr">
        <is>
          <t>None</t>
        </is>
      </c>
    </row>
    <row r="26">
      <c r="A26" s="38" t="inlineStr">
        <is>
          <t>ErlangShen_B</t>
        </is>
      </c>
      <c r="B26" t="inlineStr">
        <is>
          <t>ErlangShen_B_Name</t>
        </is>
      </c>
      <c r="C26" s="38" t="inlineStr">
        <is>
          <t>ErlangShen_B_Des</t>
        </is>
      </c>
      <c r="D26" s="25" t="inlineStr">
        <is>
          <t>Melee</t>
        </is>
      </c>
      <c r="E26" s="37" t="inlineStr">
        <is>
          <t>0.8, 0.9, 1.0</t>
        </is>
      </c>
      <c r="F26" s="37" t="inlineStr">
        <is>
          <t>0, 0, 0</t>
        </is>
      </c>
      <c r="G26" s="37" t="inlineStr">
        <is>
          <t>BasicAttack</t>
        </is>
      </c>
      <c r="H26" s="37" t="inlineStr">
        <is>
          <t>SingleEnemy</t>
        </is>
      </c>
      <c r="I26" s="36" t="inlineStr">
        <is>
          <t>None</t>
        </is>
      </c>
      <c r="J26" s="37" t="inlineStr">
        <is>
          <t>ThirdPrinceNezha_Attack</t>
        </is>
      </c>
      <c r="K26" s="37" t="inlineStr">
        <is>
          <t>None</t>
        </is>
      </c>
    </row>
    <row r="27">
      <c r="A27" s="38" t="inlineStr">
        <is>
          <t>ErlangShen_M</t>
        </is>
      </c>
      <c r="B27" t="inlineStr">
        <is>
          <t>ErlangShen_M_Name</t>
        </is>
      </c>
      <c r="C27" s="38" t="inlineStr">
        <is>
          <t>ErlangShen_M_Des</t>
        </is>
      </c>
      <c r="D27" s="37" t="inlineStr">
        <is>
          <t>MajorAttack</t>
        </is>
      </c>
      <c r="E27" s="37" t="inlineStr">
        <is>
          <t>1.2, 1.4, 1.6</t>
        </is>
      </c>
      <c r="F27" s="37" t="inlineStr">
        <is>
          <t>4.0, 4.0, 3.0</t>
        </is>
      </c>
      <c r="G27" s="37" t="inlineStr">
        <is>
          <t>ActiveSkill</t>
        </is>
      </c>
      <c r="H27" s="37" t="inlineStr">
        <is>
          <t>SingleEnemy</t>
        </is>
      </c>
      <c r="I27" s="36" t="inlineStr">
        <is>
          <t>None</t>
        </is>
      </c>
      <c r="J27" s="37" t="inlineStr">
        <is>
          <t>ErlangShen_Major</t>
        </is>
      </c>
      <c r="K27" s="37" t="inlineStr">
        <is>
          <t>psv_erlangshen_major</t>
        </is>
      </c>
    </row>
    <row r="28">
      <c r="A28" s="38" t="inlineStr">
        <is>
          <t>ErlangShen_U</t>
        </is>
      </c>
      <c r="B28" t="inlineStr">
        <is>
          <t>ErlangShen_U_Name</t>
        </is>
      </c>
      <c r="C28" s="38" t="inlineStr">
        <is>
          <t>ErlangShen_U_Des</t>
        </is>
      </c>
      <c r="D28" s="36" t="inlineStr">
        <is>
          <t>MoonBlade</t>
        </is>
      </c>
      <c r="E28" s="37" t="inlineStr">
        <is>
          <t>0.6, 0.7, 0.9</t>
        </is>
      </c>
      <c r="F28" s="37" t="inlineStr">
        <is>
          <t>5.0, 5.0, 4.0</t>
        </is>
      </c>
      <c r="G28" s="37" t="inlineStr">
        <is>
          <t>ActiveSkill</t>
        </is>
      </c>
      <c r="H28" s="37" t="inlineStr">
        <is>
          <t>SingleEnemy</t>
        </is>
      </c>
      <c r="I28" s="36" t="inlineStr">
        <is>
          <t>None</t>
        </is>
      </c>
      <c r="J28" s="37" t="inlineStr">
        <is>
          <t>ErlangShen_Ultimate</t>
        </is>
      </c>
      <c r="K28" s="37" t="inlineStr">
        <is>
          <t>psv_erlangshen_ultimate</t>
        </is>
      </c>
    </row>
    <row r="29">
      <c r="A29" s="23" t="inlineStr">
        <is>
          <t>GuanyinBodhisattva_B</t>
        </is>
      </c>
      <c r="B29" t="inlineStr">
        <is>
          <t>GuanyinBodhisattva_B_Name</t>
        </is>
      </c>
      <c r="C29" t="inlineStr">
        <is>
          <t>GuanyinBodhisattva_B_Des</t>
        </is>
      </c>
      <c r="D29" s="25" t="inlineStr">
        <is>
          <t>Range</t>
        </is>
      </c>
      <c r="E29" s="37" t="inlineStr">
        <is>
          <t>0.8, 1, 1.2</t>
        </is>
      </c>
      <c r="F29" s="37" t="inlineStr">
        <is>
          <t>0, 0, 0</t>
        </is>
      </c>
      <c r="G29" s="37" t="inlineStr">
        <is>
          <t>BasicAttack</t>
        </is>
      </c>
      <c r="H29" s="37" t="inlineStr">
        <is>
          <t>SingleEnemy</t>
        </is>
      </c>
      <c r="I29" s="36" t="inlineStr">
        <is>
          <t>None</t>
        </is>
      </c>
      <c r="K29" s="37" t="inlineStr">
        <is>
          <t>None</t>
        </is>
      </c>
    </row>
    <row r="30">
      <c r="A30" s="23" t="inlineStr">
        <is>
          <t>GuanyinBodhisattva_M</t>
        </is>
      </c>
      <c r="B30" t="inlineStr">
        <is>
          <t>GuanyinBodhisattva_M_Name</t>
        </is>
      </c>
      <c r="C30" t="inlineStr">
        <is>
          <t>GuanyinBodhisattva_M_Des</t>
        </is>
      </c>
      <c r="D30" s="25" t="inlineStr">
        <is>
          <t>None</t>
        </is>
      </c>
      <c r="E30" s="37" t="inlineStr">
        <is>
          <t>1, 1.5, 1.5</t>
        </is>
      </c>
      <c r="F30" s="37" t="inlineStr">
        <is>
          <t>4.0, 4.0, 3.0</t>
        </is>
      </c>
      <c r="G30" s="37" t="inlineStr">
        <is>
          <t>ActiveSkill</t>
        </is>
      </c>
      <c r="H30" s="37" t="inlineStr">
        <is>
          <t>SingleEnemy</t>
        </is>
      </c>
      <c r="I30" s="36" t="inlineStr">
        <is>
          <t>None</t>
        </is>
      </c>
      <c r="K30" s="37" t="inlineStr">
        <is>
          <t>None</t>
        </is>
      </c>
    </row>
    <row r="31">
      <c r="A31" s="23" t="inlineStr">
        <is>
          <t>GuanyinBodhisattva_U</t>
        </is>
      </c>
      <c r="B31" t="inlineStr">
        <is>
          <t>GuanyinBodhisattva_U_Name</t>
        </is>
      </c>
      <c r="C31" t="inlineStr">
        <is>
          <t>GuanyinBodhisattva_U_Des</t>
        </is>
      </c>
      <c r="D31" s="25" t="inlineStr">
        <is>
          <t>None</t>
        </is>
      </c>
      <c r="E31" s="37" t="inlineStr">
        <is>
          <t>1.5, 1.8, 1.8</t>
        </is>
      </c>
      <c r="F31" s="37" t="inlineStr">
        <is>
          <t>5.0, 5.0, 4.0</t>
        </is>
      </c>
      <c r="G31" s="37" t="inlineStr">
        <is>
          <t>ActiveSkill</t>
        </is>
      </c>
      <c r="H31" s="37" t="inlineStr">
        <is>
          <t>SingleEnemy</t>
        </is>
      </c>
      <c r="I31" s="36" t="inlineStr">
        <is>
          <t>None</t>
        </is>
      </c>
      <c r="K31" s="37" t="inlineStr">
        <is>
          <t>None</t>
        </is>
      </c>
    </row>
    <row r="32">
      <c r="A32" s="11" t="inlineStr">
        <is>
          <t>VanguardTiger_B</t>
        </is>
      </c>
      <c r="B32" t="inlineStr">
        <is>
          <t>VanguardTiger_B_Name</t>
        </is>
      </c>
      <c r="C32" t="inlineStr">
        <is>
          <t>VanguardTiger_B_Des</t>
        </is>
      </c>
      <c r="D32" s="26" t="inlineStr">
        <is>
          <t>Melee</t>
        </is>
      </c>
      <c r="E32" s="37" t="inlineStr">
        <is>
          <t>1, 1, 1</t>
        </is>
      </c>
      <c r="F32" s="37" t="inlineStr">
        <is>
          <t>0, 0, 0</t>
        </is>
      </c>
      <c r="G32" s="37" t="inlineStr">
        <is>
          <t>BasicAttack</t>
        </is>
      </c>
      <c r="H32" s="37" t="inlineStr">
        <is>
          <t>SingleEnemy</t>
        </is>
      </c>
      <c r="I32" s="36" t="inlineStr">
        <is>
          <t>None</t>
        </is>
      </c>
      <c r="J32" t="inlineStr">
        <is>
          <t>VanguardTiger_Attack</t>
        </is>
      </c>
      <c r="K32" s="37" t="inlineStr">
        <is>
          <t>None</t>
        </is>
      </c>
    </row>
    <row r="33">
      <c r="A33" s="10" t="inlineStr">
        <is>
          <t>TheBoySage_B</t>
        </is>
      </c>
      <c r="B33" t="inlineStr">
        <is>
          <t>TheBoySage_B_Name</t>
        </is>
      </c>
      <c r="C33" t="inlineStr">
        <is>
          <t>TheBoySage_B_Des</t>
        </is>
      </c>
      <c r="D33" s="7" t="inlineStr">
        <is>
          <t>Melee</t>
        </is>
      </c>
      <c r="E33" s="37" t="inlineStr">
        <is>
          <t>0.8, 1, 1.2</t>
        </is>
      </c>
      <c r="F33" s="37" t="inlineStr">
        <is>
          <t>0, 0, 0</t>
        </is>
      </c>
      <c r="G33" s="37" t="inlineStr">
        <is>
          <t>BasicAttack</t>
        </is>
      </c>
      <c r="H33" s="37" t="inlineStr">
        <is>
          <t>SingleEnemy</t>
        </is>
      </c>
      <c r="I33" s="36" t="inlineStr">
        <is>
          <t>None</t>
        </is>
      </c>
      <c r="J33" t="inlineStr">
        <is>
          <t>TheBoySage_Attack</t>
        </is>
      </c>
      <c r="K33" s="37" t="inlineStr">
        <is>
          <t>None</t>
        </is>
      </c>
    </row>
    <row r="34">
      <c r="A34" s="10" t="inlineStr">
        <is>
          <t>TheBoySage_M</t>
        </is>
      </c>
      <c r="B34" t="inlineStr">
        <is>
          <t>TheBoySage_M_Name</t>
        </is>
      </c>
      <c r="C34" t="inlineStr">
        <is>
          <t>TheBoySage_M_Des</t>
        </is>
      </c>
      <c r="D34" s="7" t="inlineStr">
        <is>
          <t>FireBall</t>
        </is>
      </c>
      <c r="E34" s="37" t="inlineStr">
        <is>
          <t>1, 1.5, 1.5</t>
        </is>
      </c>
      <c r="F34" s="37" t="inlineStr">
        <is>
          <t>4.0, 4.0, 3.0</t>
        </is>
      </c>
      <c r="G34" s="37" t="inlineStr">
        <is>
          <t>ActiveSkill</t>
        </is>
      </c>
      <c r="H34" s="37" t="inlineStr">
        <is>
          <t>SingleEnemy</t>
        </is>
      </c>
      <c r="I34" s="36" t="inlineStr">
        <is>
          <t>None</t>
        </is>
      </c>
      <c r="J34" t="inlineStr">
        <is>
          <t>TheBoySage_Major</t>
        </is>
      </c>
      <c r="K34" s="37" t="inlineStr">
        <is>
          <t>None</t>
        </is>
      </c>
    </row>
    <row r="35">
      <c r="A35" s="10" t="inlineStr">
        <is>
          <t>TheBoySage_U</t>
        </is>
      </c>
      <c r="B35" t="inlineStr">
        <is>
          <t>TheBoySage_U_Name</t>
        </is>
      </c>
      <c r="C35" t="inlineStr">
        <is>
          <t>TheBoySage_U_Des</t>
        </is>
      </c>
      <c r="D35" s="2" t="inlineStr">
        <is>
          <t>EmpowerAttack</t>
        </is>
      </c>
      <c r="E35" s="37" t="inlineStr">
        <is>
          <t>1.5, 1.8, 1.8</t>
        </is>
      </c>
      <c r="F35" s="37" t="inlineStr">
        <is>
          <t>5.0, 5.0, 4.0</t>
        </is>
      </c>
      <c r="G35" s="37" t="inlineStr">
        <is>
          <t>ActiveSkill</t>
        </is>
      </c>
      <c r="H35" s="37" t="inlineStr">
        <is>
          <t>SingleEnemy</t>
        </is>
      </c>
      <c r="I35" s="36" t="inlineStr">
        <is>
          <t>None</t>
        </is>
      </c>
      <c r="J35" t="inlineStr">
        <is>
          <t>TheBoySage_Main</t>
        </is>
      </c>
      <c r="K35" s="37" t="inlineStr">
        <is>
          <t>None</t>
        </is>
      </c>
    </row>
    <row r="36">
      <c r="A36" t="inlineStr">
        <is>
          <t>GoldHornKing_B</t>
        </is>
      </c>
      <c r="B36" t="inlineStr">
        <is>
          <t>GoldHornKing_B_Name</t>
        </is>
      </c>
      <c r="C36" t="inlineStr">
        <is>
          <t>GoldHornKing_B_Des</t>
        </is>
      </c>
      <c r="D36" s="37" t="inlineStr">
        <is>
          <t>Melee</t>
        </is>
      </c>
      <c r="E36" s="37" t="inlineStr">
        <is>
          <t>0.8, 1, 1.2</t>
        </is>
      </c>
      <c r="F36" s="37" t="inlineStr">
        <is>
          <t>0, 0, 0</t>
        </is>
      </c>
      <c r="G36" s="37" t="inlineStr">
        <is>
          <t>BasicAttack</t>
        </is>
      </c>
      <c r="H36" s="37" t="inlineStr">
        <is>
          <t>SingleEnemy</t>
        </is>
      </c>
      <c r="I36" s="36" t="inlineStr">
        <is>
          <t>None</t>
        </is>
      </c>
      <c r="J36" t="inlineStr">
        <is>
          <t>GoldHornKing_Attack</t>
        </is>
      </c>
      <c r="K36" s="37" t="inlineStr">
        <is>
          <t>None</t>
        </is>
      </c>
    </row>
    <row r="37">
      <c r="A37" t="inlineStr">
        <is>
          <t>GoldHornKing_M</t>
        </is>
      </c>
      <c r="B37" t="inlineStr">
        <is>
          <t>GoldHornKing_M_Name</t>
        </is>
      </c>
      <c r="C37" t="inlineStr">
        <is>
          <t>GoldHornKing_M_Des</t>
        </is>
      </c>
      <c r="D37" s="37" t="inlineStr">
        <is>
          <t>MajorAttack</t>
        </is>
      </c>
      <c r="E37" s="37" t="inlineStr">
        <is>
          <t>1, 1.5, 1.5</t>
        </is>
      </c>
      <c r="F37" s="37" t="inlineStr">
        <is>
          <t>4.0, 4.0, 3.0</t>
        </is>
      </c>
      <c r="G37" s="37" t="inlineStr">
        <is>
          <t>ActiveSkill</t>
        </is>
      </c>
      <c r="H37" s="37" t="inlineStr">
        <is>
          <t>SingleEnemy</t>
        </is>
      </c>
      <c r="I37" s="36" t="inlineStr">
        <is>
          <t>None</t>
        </is>
      </c>
      <c r="J37" t="inlineStr">
        <is>
          <t>GoldHornKing_Major</t>
        </is>
      </c>
      <c r="K37" s="37" t="inlineStr">
        <is>
          <t>None</t>
        </is>
      </c>
    </row>
    <row r="38">
      <c r="A38" t="inlineStr">
        <is>
          <t>GoldHornKing_U</t>
        </is>
      </c>
      <c r="B38" t="inlineStr">
        <is>
          <t>GoldHornKing_U_Name</t>
        </is>
      </c>
      <c r="C38" t="inlineStr">
        <is>
          <t>GoldHornKing_U_Des</t>
        </is>
      </c>
      <c r="D38" s="36" t="inlineStr">
        <is>
          <t>EmpowerAttack</t>
        </is>
      </c>
      <c r="E38" s="37" t="inlineStr">
        <is>
          <t>1.5, 1.8, 1.8</t>
        </is>
      </c>
      <c r="F38" s="37" t="inlineStr">
        <is>
          <t>5.0, 5.0, 4.0</t>
        </is>
      </c>
      <c r="G38" s="37" t="inlineStr">
        <is>
          <t>ActiveSkill</t>
        </is>
      </c>
      <c r="H38" s="37" t="inlineStr">
        <is>
          <t>SingleEnemy</t>
        </is>
      </c>
      <c r="I38" s="36" t="inlineStr">
        <is>
          <t>None</t>
        </is>
      </c>
      <c r="J38" t="inlineStr">
        <is>
          <t>GoldHornKing_Main</t>
        </is>
      </c>
      <c r="K38" s="37" t="inlineStr">
        <is>
          <t>None</t>
        </is>
      </c>
    </row>
    <row r="39">
      <c r="A39" s="10" t="inlineStr">
        <is>
          <t>SilverHornKing_B</t>
        </is>
      </c>
      <c r="B39" t="inlineStr">
        <is>
          <t>SilverHornKing_B_Name</t>
        </is>
      </c>
      <c r="C39" t="inlineStr">
        <is>
          <t>SilverHornKing_B_Des</t>
        </is>
      </c>
      <c r="D39" s="7" t="inlineStr">
        <is>
          <t>Melee</t>
        </is>
      </c>
      <c r="E39" s="37" t="inlineStr">
        <is>
          <t>0.8, 1, 1.2</t>
        </is>
      </c>
      <c r="F39" s="37" t="inlineStr">
        <is>
          <t>0, 0, 0</t>
        </is>
      </c>
      <c r="G39" s="37" t="inlineStr">
        <is>
          <t>BasicAttack</t>
        </is>
      </c>
      <c r="H39" s="37" t="inlineStr">
        <is>
          <t>SingleEnemy</t>
        </is>
      </c>
      <c r="I39" s="36" t="inlineStr">
        <is>
          <t>None</t>
        </is>
      </c>
      <c r="J39" t="inlineStr">
        <is>
          <t>SilverHornKing_Attack</t>
        </is>
      </c>
      <c r="K39" s="37" t="inlineStr">
        <is>
          <t>None</t>
        </is>
      </c>
    </row>
    <row r="40">
      <c r="A40" s="10" t="inlineStr">
        <is>
          <t>SilverHornKing_M</t>
        </is>
      </c>
      <c r="B40" t="inlineStr">
        <is>
          <t>SilverHornKing_M_Name</t>
        </is>
      </c>
      <c r="C40" t="inlineStr">
        <is>
          <t>SilverHornKing_M_Des</t>
        </is>
      </c>
      <c r="D40" s="7" t="inlineStr">
        <is>
          <t>Torando</t>
        </is>
      </c>
      <c r="E40" s="37" t="inlineStr">
        <is>
          <t>1, 1.5, 1.5</t>
        </is>
      </c>
      <c r="F40" s="37" t="inlineStr">
        <is>
          <t>4.0, 4.0, 3.0</t>
        </is>
      </c>
      <c r="G40" s="37" t="inlineStr">
        <is>
          <t>ActiveSkill</t>
        </is>
      </c>
      <c r="H40" s="37" t="inlineStr">
        <is>
          <t>SingleEnemy</t>
        </is>
      </c>
      <c r="I40" s="36" t="inlineStr">
        <is>
          <t>None</t>
        </is>
      </c>
      <c r="J40" t="inlineStr">
        <is>
          <t>SilverHornKing_Major</t>
        </is>
      </c>
      <c r="K40" s="37" t="inlineStr">
        <is>
          <t>None</t>
        </is>
      </c>
    </row>
    <row r="41">
      <c r="A41" s="10" t="inlineStr">
        <is>
          <t>SilverHornKing_U</t>
        </is>
      </c>
      <c r="B41" t="inlineStr">
        <is>
          <t>SilverHornKing_U_Name</t>
        </is>
      </c>
      <c r="C41" t="inlineStr">
        <is>
          <t>SilverHornKing_U_Des</t>
        </is>
      </c>
      <c r="D41" s="2" t="inlineStr">
        <is>
          <t>EmpowerAttack</t>
        </is>
      </c>
      <c r="E41" s="37" t="inlineStr">
        <is>
          <t>1.5, 1.8, 1.8</t>
        </is>
      </c>
      <c r="F41" s="37" t="inlineStr">
        <is>
          <t>5.0, 5.0, 4.0</t>
        </is>
      </c>
      <c r="G41" s="37" t="inlineStr">
        <is>
          <t>ActiveSkill</t>
        </is>
      </c>
      <c r="H41" s="37" t="inlineStr">
        <is>
          <t>SingleEnemy</t>
        </is>
      </c>
      <c r="I41" s="36" t="inlineStr">
        <is>
          <t>None</t>
        </is>
      </c>
      <c r="J41" t="inlineStr">
        <is>
          <t>GoldHornKing_Main</t>
        </is>
      </c>
      <c r="K41" s="37" t="inlineStr">
        <is>
          <t>None</t>
        </is>
      </c>
    </row>
    <row r="42">
      <c r="A42" t="inlineStr">
        <is>
          <t>YellowWindMonster_B</t>
        </is>
      </c>
      <c r="B42" t="inlineStr">
        <is>
          <t>YellowWindMonster_B_Name</t>
        </is>
      </c>
      <c r="C42" t="inlineStr">
        <is>
          <t>YellowWindMonster_B_Des</t>
        </is>
      </c>
      <c r="D42" s="37" t="inlineStr">
        <is>
          <t>Melee</t>
        </is>
      </c>
      <c r="E42" s="37" t="inlineStr">
        <is>
          <t>0.8, 1, 1.2</t>
        </is>
      </c>
      <c r="F42" s="37" t="inlineStr">
        <is>
          <t>0, 0, 0</t>
        </is>
      </c>
      <c r="G42" s="37" t="inlineStr">
        <is>
          <t>BasicAttack</t>
        </is>
      </c>
      <c r="H42" s="37" t="inlineStr">
        <is>
          <t>SingleEnemy</t>
        </is>
      </c>
      <c r="I42" s="36" t="inlineStr">
        <is>
          <t>None</t>
        </is>
      </c>
      <c r="J42" t="inlineStr">
        <is>
          <t>YellowWindMonster_Attack</t>
        </is>
      </c>
      <c r="K42" s="37" t="inlineStr">
        <is>
          <t>None</t>
        </is>
      </c>
    </row>
    <row r="43">
      <c r="A43" t="inlineStr">
        <is>
          <t>YellowWindMonster_M</t>
        </is>
      </c>
      <c r="B43" t="inlineStr">
        <is>
          <t>YellowWindMonster_M_Name</t>
        </is>
      </c>
      <c r="C43" t="inlineStr">
        <is>
          <t>YellowWindMonster_M_Des</t>
        </is>
      </c>
      <c r="D43" s="37" t="inlineStr">
        <is>
          <t>Suriken</t>
        </is>
      </c>
      <c r="E43" s="37" t="inlineStr">
        <is>
          <t>1, 1.5, 1.5</t>
        </is>
      </c>
      <c r="F43" s="37" t="inlineStr">
        <is>
          <t>4.0, 4.0, 3.0</t>
        </is>
      </c>
      <c r="G43" s="37" t="inlineStr">
        <is>
          <t>ActiveSkill</t>
        </is>
      </c>
      <c r="H43" s="37" t="inlineStr">
        <is>
          <t>SingleEnemy</t>
        </is>
      </c>
      <c r="I43" s="36" t="inlineStr">
        <is>
          <t>None</t>
        </is>
      </c>
      <c r="J43" t="inlineStr">
        <is>
          <t>YellowWindMonster_Major</t>
        </is>
      </c>
      <c r="K43" s="37" t="inlineStr">
        <is>
          <t>None</t>
        </is>
      </c>
    </row>
    <row r="44">
      <c r="A44" t="inlineStr">
        <is>
          <t>YellowWindMonster_U</t>
        </is>
      </c>
      <c r="B44" t="inlineStr">
        <is>
          <t>YellowWindMonster_U_Name</t>
        </is>
      </c>
      <c r="C44" t="inlineStr">
        <is>
          <t>YellowWindMonster_U_Des</t>
        </is>
      </c>
      <c r="D44" s="36" t="inlineStr">
        <is>
          <t>DivineWind</t>
        </is>
      </c>
      <c r="E44" s="37" t="inlineStr">
        <is>
          <t>1.5, 1.8, 1.8</t>
        </is>
      </c>
      <c r="F44" s="37" t="inlineStr">
        <is>
          <t>5.0, 5.0, 4.0</t>
        </is>
      </c>
      <c r="G44" s="37" t="inlineStr">
        <is>
          <t>ActiveSkill</t>
        </is>
      </c>
      <c r="H44" s="37" t="inlineStr">
        <is>
          <t>SingleEnemy</t>
        </is>
      </c>
      <c r="I44" s="36" t="inlineStr">
        <is>
          <t>None</t>
        </is>
      </c>
      <c r="J44" t="inlineStr">
        <is>
          <t>YellowWindMonster_Main</t>
        </is>
      </c>
      <c r="K44" s="37" t="inlineStr">
        <is>
          <t>None</t>
        </is>
      </c>
    </row>
    <row r="45">
      <c r="A45" s="10" t="inlineStr">
        <is>
          <t>GoldfishDemon_B</t>
        </is>
      </c>
      <c r="B45" t="inlineStr">
        <is>
          <t>GoldfishDemon_B_Name</t>
        </is>
      </c>
      <c r="C45" t="inlineStr">
        <is>
          <t>GoldfishDemon_B_Des</t>
        </is>
      </c>
      <c r="D45" s="7" t="inlineStr">
        <is>
          <t>Melee</t>
        </is>
      </c>
      <c r="E45" s="37" t="inlineStr">
        <is>
          <t>0.8, 1, 1.2</t>
        </is>
      </c>
      <c r="F45" s="37" t="inlineStr">
        <is>
          <t>0, 0, 0</t>
        </is>
      </c>
      <c r="G45" s="37" t="inlineStr">
        <is>
          <t>BasicAttack</t>
        </is>
      </c>
      <c r="H45" s="37" t="inlineStr">
        <is>
          <t>SingleEnemy</t>
        </is>
      </c>
      <c r="I45" s="36" t="inlineStr">
        <is>
          <t>None</t>
        </is>
      </c>
      <c r="J45" t="inlineStr">
        <is>
          <t>GoldfishDemon_Attack</t>
        </is>
      </c>
      <c r="K45" s="37" t="inlineStr">
        <is>
          <t>None</t>
        </is>
      </c>
    </row>
    <row r="46">
      <c r="A46" s="10" t="inlineStr">
        <is>
          <t>GoldfishDemon_M</t>
        </is>
      </c>
      <c r="B46" t="inlineStr">
        <is>
          <t>GoldfishDemon_M_Name</t>
        </is>
      </c>
      <c r="C46" t="inlineStr">
        <is>
          <t>GoldfishDemon_M_Des</t>
        </is>
      </c>
      <c r="D46" s="7" t="inlineStr">
        <is>
          <t>MajorAttack</t>
        </is>
      </c>
      <c r="E46" s="37" t="inlineStr">
        <is>
          <t>1, 1.5, 1.5</t>
        </is>
      </c>
      <c r="F46" s="37" t="inlineStr">
        <is>
          <t>4.0, 4.0, 3.0</t>
        </is>
      </c>
      <c r="G46" s="37" t="inlineStr">
        <is>
          <t>ActiveSkill</t>
        </is>
      </c>
      <c r="H46" s="37" t="inlineStr">
        <is>
          <t>SingleEnemy</t>
        </is>
      </c>
      <c r="I46" s="36" t="inlineStr">
        <is>
          <t>None</t>
        </is>
      </c>
      <c r="J46" t="inlineStr">
        <is>
          <t>GoldfishDemon_Major</t>
        </is>
      </c>
      <c r="K46" s="37" t="inlineStr">
        <is>
          <t>None</t>
        </is>
      </c>
    </row>
    <row r="47">
      <c r="A47" s="10" t="inlineStr">
        <is>
          <t>GoldfishDemon_U</t>
        </is>
      </c>
      <c r="B47" t="inlineStr">
        <is>
          <t>GoldfishDemon_U_Name</t>
        </is>
      </c>
      <c r="C47" t="inlineStr">
        <is>
          <t>GoldfishDemon_U_Des</t>
        </is>
      </c>
      <c r="D47" s="2" t="inlineStr">
        <is>
          <t>EmpowerAttack</t>
        </is>
      </c>
      <c r="E47" s="37" t="inlineStr">
        <is>
          <t>1.5, 1.8, 1.8</t>
        </is>
      </c>
      <c r="F47" s="37" t="inlineStr">
        <is>
          <t>5.0, 5.0, 4.0</t>
        </is>
      </c>
      <c r="G47" s="37" t="inlineStr">
        <is>
          <t>ActiveSkill</t>
        </is>
      </c>
      <c r="H47" s="37" t="inlineStr">
        <is>
          <t>SingleEnemy</t>
        </is>
      </c>
      <c r="I47" t="inlineStr">
        <is>
          <t>EFF_Stun_def</t>
        </is>
      </c>
      <c r="J47" t="inlineStr">
        <is>
          <t>GoldfishDemon_Main</t>
        </is>
      </c>
      <c r="K47" s="37" t="inlineStr">
        <is>
          <t>None</t>
        </is>
      </c>
    </row>
    <row r="48">
      <c r="A48" s="27" t="inlineStr">
        <is>
          <t>None_Skill</t>
        </is>
      </c>
      <c r="B48" s="37" t="inlineStr">
        <is>
          <t>None_Skill_Name</t>
        </is>
      </c>
      <c r="C48" s="37" t="inlineStr">
        <is>
          <t>None_Skill_Des</t>
        </is>
      </c>
      <c r="D48" s="7" t="inlineStr">
        <is>
          <t>None</t>
        </is>
      </c>
      <c r="E48" s="37" t="inlineStr">
        <is>
          <t>0, 0, 0</t>
        </is>
      </c>
      <c r="F48" s="37" t="inlineStr">
        <is>
          <t>0, 0, 0</t>
        </is>
      </c>
      <c r="G48" t="inlineStr">
        <is>
          <t>NonAttackSkill</t>
        </is>
      </c>
      <c r="H48" s="37" t="inlineStr">
        <is>
          <t>SingleEnemy</t>
        </is>
      </c>
      <c r="I48" s="36" t="inlineStr">
        <is>
          <t>None</t>
        </is>
      </c>
      <c r="K48" s="37" t="inlineStr">
        <is>
          <t>None</t>
        </is>
      </c>
    </row>
    <row r="49">
      <c r="A49" s="11" t="inlineStr">
        <is>
          <t>HeavenlySoddier_B</t>
        </is>
      </c>
      <c r="B49" t="inlineStr">
        <is>
          <t>HeavenlySoddier_B_Name</t>
        </is>
      </c>
      <c r="C49" t="inlineStr">
        <is>
          <t>HeavenlySoddier_B_Des</t>
        </is>
      </c>
      <c r="D49" s="26" t="inlineStr">
        <is>
          <t>Melee</t>
        </is>
      </c>
      <c r="E49" s="37" t="inlineStr">
        <is>
          <t>1, 1, 1</t>
        </is>
      </c>
      <c r="F49" s="37" t="inlineStr">
        <is>
          <t>0, 0, 0</t>
        </is>
      </c>
      <c r="G49" s="37" t="inlineStr">
        <is>
          <t>BasicAttack</t>
        </is>
      </c>
      <c r="H49" s="37" t="inlineStr">
        <is>
          <t>SingleEnemy</t>
        </is>
      </c>
      <c r="I49" s="36" t="inlineStr">
        <is>
          <t>None</t>
        </is>
      </c>
      <c r="J49" t="inlineStr">
        <is>
          <t>ThirdPrinceNezha_Attack</t>
        </is>
      </c>
      <c r="K49" s="37" t="inlineStr">
        <is>
          <t>None</t>
        </is>
      </c>
    </row>
    <row r="50">
      <c r="A50" s="11" t="inlineStr">
        <is>
          <t>YoungBufflalo_B</t>
        </is>
      </c>
      <c r="B50" t="inlineStr">
        <is>
          <t>YoungBufflalo_B_Name</t>
        </is>
      </c>
      <c r="C50" t="inlineStr">
        <is>
          <t>YoungBufflalo_B_Des</t>
        </is>
      </c>
      <c r="D50" s="26" t="inlineStr">
        <is>
          <t>Melee</t>
        </is>
      </c>
      <c r="E50" s="37" t="inlineStr">
        <is>
          <t>1, 1, 1</t>
        </is>
      </c>
      <c r="F50" s="37" t="inlineStr">
        <is>
          <t>0, 0, 0</t>
        </is>
      </c>
      <c r="G50" s="37" t="inlineStr">
        <is>
          <t>BasicAttack</t>
        </is>
      </c>
      <c r="H50" s="37" t="inlineStr">
        <is>
          <t>SingleEnemy</t>
        </is>
      </c>
      <c r="I50" s="36" t="inlineStr">
        <is>
          <t>None</t>
        </is>
      </c>
      <c r="J50" t="inlineStr">
        <is>
          <t>ThirdPrinceNezha_Attack</t>
        </is>
      </c>
      <c r="K50" s="37" t="inlineStr">
        <is>
          <t>None</t>
        </is>
      </c>
    </row>
    <row r="51">
      <c r="A51" s="11" t="inlineStr">
        <is>
          <t>Minions_B</t>
        </is>
      </c>
      <c r="B51" t="inlineStr">
        <is>
          <t>Minions_B_Name</t>
        </is>
      </c>
      <c r="C51" t="inlineStr">
        <is>
          <t>Minions_B_Des</t>
        </is>
      </c>
      <c r="D51" s="26" t="inlineStr">
        <is>
          <t>Melee</t>
        </is>
      </c>
      <c r="E51" s="37" t="inlineStr">
        <is>
          <t>1, 1, 1</t>
        </is>
      </c>
      <c r="F51" s="37" t="inlineStr">
        <is>
          <t>0, 0, 0</t>
        </is>
      </c>
      <c r="G51" s="37" t="inlineStr">
        <is>
          <t>BasicAttack</t>
        </is>
      </c>
      <c r="H51" s="37" t="inlineStr">
        <is>
          <t>SingleEnemy</t>
        </is>
      </c>
      <c r="I51" s="36" t="inlineStr">
        <is>
          <t>None</t>
        </is>
      </c>
      <c r="J51" t="inlineStr">
        <is>
          <t>VanguardTiger_Attack</t>
        </is>
      </c>
      <c r="K51" s="37" t="inlineStr">
        <is>
          <t>None</t>
        </is>
      </c>
    </row>
    <row r="52">
      <c r="A52" s="11" t="inlineStr">
        <is>
          <t>RatMonster_B</t>
        </is>
      </c>
      <c r="B52" t="inlineStr">
        <is>
          <t>RatMonster_B_Name</t>
        </is>
      </c>
      <c r="C52" t="inlineStr">
        <is>
          <t>RatMonster_B_Des</t>
        </is>
      </c>
      <c r="D52" s="26" t="inlineStr">
        <is>
          <t>Melee</t>
        </is>
      </c>
      <c r="E52" s="37" t="inlineStr">
        <is>
          <t>1, 1, 1</t>
        </is>
      </c>
      <c r="F52" s="37" t="inlineStr">
        <is>
          <t>0, 0, 0</t>
        </is>
      </c>
      <c r="G52" s="37" t="inlineStr">
        <is>
          <t>BasicAttack</t>
        </is>
      </c>
      <c r="H52" s="37" t="inlineStr">
        <is>
          <t>SingleEnemy</t>
        </is>
      </c>
      <c r="I52" s="36" t="inlineStr">
        <is>
          <t>None</t>
        </is>
      </c>
      <c r="J52" t="inlineStr">
        <is>
          <t>ThirdPrinceNezha_Attack</t>
        </is>
      </c>
      <c r="K52" s="37" t="inlineStr">
        <is>
          <t>None</t>
        </is>
      </c>
    </row>
    <row r="53">
      <c r="A53" s="11" t="inlineStr">
        <is>
          <t>CrabSolider_B</t>
        </is>
      </c>
      <c r="B53" t="inlineStr">
        <is>
          <t>CrabSolider_B_Name</t>
        </is>
      </c>
      <c r="C53" t="inlineStr">
        <is>
          <t>CrabSolider_B_Des</t>
        </is>
      </c>
      <c r="D53" s="26" t="inlineStr">
        <is>
          <t>Melee</t>
        </is>
      </c>
      <c r="E53" s="37" t="inlineStr">
        <is>
          <t>1, 1, 1</t>
        </is>
      </c>
      <c r="F53" s="37" t="inlineStr">
        <is>
          <t>0, 0, 0</t>
        </is>
      </c>
      <c r="G53" s="37" t="inlineStr">
        <is>
          <t>BasicAttack</t>
        </is>
      </c>
      <c r="H53" s="37" t="inlineStr">
        <is>
          <t>SingleEnemy</t>
        </is>
      </c>
      <c r="I53" s="36" t="inlineStr">
        <is>
          <t>None</t>
        </is>
      </c>
      <c r="J53" t="inlineStr">
        <is>
          <t>VanguardTiger_Attack</t>
        </is>
      </c>
      <c r="K53" s="37" t="inlineStr">
        <is>
          <t>None</t>
        </is>
      </c>
    </row>
    <row r="54">
      <c r="A54" s="11" t="inlineStr">
        <is>
          <t>SquidSolider_B</t>
        </is>
      </c>
      <c r="B54" t="inlineStr">
        <is>
          <t>SquidSolider_B_Name</t>
        </is>
      </c>
      <c r="C54" t="inlineStr">
        <is>
          <t>SquidSolider_B_Des</t>
        </is>
      </c>
      <c r="D54" s="26" t="inlineStr">
        <is>
          <t>Melee</t>
        </is>
      </c>
      <c r="E54" s="37" t="inlineStr">
        <is>
          <t>1, 1, 1</t>
        </is>
      </c>
      <c r="F54" s="37" t="inlineStr">
        <is>
          <t>0, 0, 0</t>
        </is>
      </c>
      <c r="G54" s="37" t="inlineStr">
        <is>
          <t>BasicAttack</t>
        </is>
      </c>
      <c r="H54" s="37" t="inlineStr">
        <is>
          <t>SingleEnemy</t>
        </is>
      </c>
      <c r="I54" s="36" t="inlineStr">
        <is>
          <t>None</t>
        </is>
      </c>
      <c r="J54" t="inlineStr">
        <is>
          <t>ThirdPrinceNezha_Attack</t>
        </is>
      </c>
      <c r="K54" s="37" t="inlineStr">
        <is>
          <t>None</t>
        </is>
      </c>
    </row>
    <row r="55">
      <c r="A55" s="11" t="inlineStr">
        <is>
          <t>Benborba_B</t>
        </is>
      </c>
      <c r="B55" t="inlineStr">
        <is>
          <t>Benborba_B_Name</t>
        </is>
      </c>
      <c r="C55" t="inlineStr">
        <is>
          <t>Benborba_B_Des</t>
        </is>
      </c>
      <c r="D55" s="26" t="inlineStr">
        <is>
          <t>Melee</t>
        </is>
      </c>
      <c r="E55" s="37" t="inlineStr">
        <is>
          <t>1, 1, 1</t>
        </is>
      </c>
      <c r="F55" s="37" t="inlineStr">
        <is>
          <t>0, 0, 0</t>
        </is>
      </c>
      <c r="G55" s="37" t="inlineStr">
        <is>
          <t>BasicAttack</t>
        </is>
      </c>
      <c r="H55" s="37" t="inlineStr">
        <is>
          <t>SingleEnemy</t>
        </is>
      </c>
      <c r="I55" s="36" t="inlineStr">
        <is>
          <t>None</t>
        </is>
      </c>
      <c r="J55" t="inlineStr">
        <is>
          <t>VanguardTiger_Attack</t>
        </is>
      </c>
      <c r="K55" s="37" t="inlineStr">
        <is>
          <t>None</t>
        </is>
      </c>
    </row>
    <row r="56">
      <c r="A56" s="11" t="inlineStr">
        <is>
          <t>Baborben_B</t>
        </is>
      </c>
      <c r="B56" t="inlineStr">
        <is>
          <t>Baborben_B_Name</t>
        </is>
      </c>
      <c r="C56" t="inlineStr">
        <is>
          <t>Baborben_B_Des</t>
        </is>
      </c>
      <c r="D56" s="26" t="inlineStr">
        <is>
          <t>Melee</t>
        </is>
      </c>
      <c r="E56" s="37" t="inlineStr">
        <is>
          <t>1, 1, 1</t>
        </is>
      </c>
      <c r="F56" s="37" t="inlineStr">
        <is>
          <t>0, 0, 0</t>
        </is>
      </c>
      <c r="G56" s="37" t="inlineStr">
        <is>
          <t>BasicAttack</t>
        </is>
      </c>
      <c r="H56" s="37" t="inlineStr">
        <is>
          <t>SingleEnemy</t>
        </is>
      </c>
      <c r="I56" s="36" t="inlineStr">
        <is>
          <t>None</t>
        </is>
      </c>
      <c r="J56" t="inlineStr">
        <is>
          <t>VanguardTiger_Attack</t>
        </is>
      </c>
      <c r="K56" s="37" t="inlineStr">
        <is>
          <t>None</t>
        </is>
      </c>
    </row>
    <row r="57">
      <c r="A57" s="38" t="inlineStr">
        <is>
          <t>LiJing_B</t>
        </is>
      </c>
      <c r="B57" t="inlineStr">
        <is>
          <t>LiJing_B_Name</t>
        </is>
      </c>
      <c r="C57" s="38" t="inlineStr">
        <is>
          <t>LiJing_B_Des</t>
        </is>
      </c>
      <c r="D57" s="7" t="inlineStr">
        <is>
          <t>Melee</t>
        </is>
      </c>
      <c r="E57" s="37" t="inlineStr">
        <is>
          <t>1, 1.2, 1.5</t>
        </is>
      </c>
      <c r="F57" s="37" t="inlineStr">
        <is>
          <t>0, 0, 0</t>
        </is>
      </c>
      <c r="G57" s="37" t="inlineStr">
        <is>
          <t>BasicAttack</t>
        </is>
      </c>
      <c r="H57" s="37" t="inlineStr">
        <is>
          <t>SingleEnemy</t>
        </is>
      </c>
      <c r="I57" s="36" t="inlineStr">
        <is>
          <t>None</t>
        </is>
      </c>
      <c r="J57" s="28" t="inlineStr">
        <is>
          <t>LiJing_Attack</t>
        </is>
      </c>
      <c r="K57" s="37" t="inlineStr">
        <is>
          <t>psv_lijing_base</t>
        </is>
      </c>
    </row>
    <row r="58">
      <c r="A58" s="38" t="inlineStr">
        <is>
          <t>LiJing_M</t>
        </is>
      </c>
      <c r="B58" t="inlineStr">
        <is>
          <t>LiJing_M_Name</t>
        </is>
      </c>
      <c r="C58" s="38" t="inlineStr">
        <is>
          <t>LiJing_M_Des</t>
        </is>
      </c>
      <c r="D58" s="7" t="inlineStr">
        <is>
          <t>BuffShield</t>
        </is>
      </c>
      <c r="E58" s="37" t="inlineStr">
        <is>
          <t>0.15, 0.2, 0.25</t>
        </is>
      </c>
      <c r="F58" s="37" t="inlineStr">
        <is>
          <t>4, 4, 3</t>
        </is>
      </c>
      <c r="G58" s="36" t="inlineStr">
        <is>
          <t>NonAttackSkill</t>
        </is>
      </c>
      <c r="H58" s="37" t="inlineStr">
        <is>
          <t>SameRowAllies</t>
        </is>
      </c>
      <c r="I58" s="36" t="inlineStr">
        <is>
          <t>None</t>
        </is>
      </c>
      <c r="J58" s="28" t="inlineStr">
        <is>
          <t>LiJing_Major</t>
        </is>
      </c>
      <c r="K58" s="37" t="inlineStr">
        <is>
          <t>None</t>
        </is>
      </c>
    </row>
    <row r="59">
      <c r="A59" s="38" t="inlineStr">
        <is>
          <t>LiJing_U</t>
        </is>
      </c>
      <c r="B59" t="inlineStr">
        <is>
          <t>LiJing_U_Name</t>
        </is>
      </c>
      <c r="C59" s="38" t="inlineStr">
        <is>
          <t>LiJing_U_Des</t>
        </is>
      </c>
      <c r="D59" s="36" t="inlineStr">
        <is>
          <t>EmpowerAttack</t>
        </is>
      </c>
      <c r="E59" s="37" t="inlineStr">
        <is>
          <t>2.2, 2.5, 3.0</t>
        </is>
      </c>
      <c r="F59" s="37" t="inlineStr">
        <is>
          <t>5, 5, 4</t>
        </is>
      </c>
      <c r="G59" s="37" t="inlineStr">
        <is>
          <t>ActiveSkill</t>
        </is>
      </c>
      <c r="H59" s="37" t="inlineStr">
        <is>
          <t>SingleEnemy</t>
        </is>
      </c>
      <c r="I59" s="36" t="inlineStr">
        <is>
          <t>None</t>
        </is>
      </c>
      <c r="J59" s="28" t="inlineStr">
        <is>
          <t>LiJing_Ultimate</t>
        </is>
      </c>
      <c r="K59" s="37" t="inlineStr">
        <is>
          <t>psv_lijing_ultimate</t>
        </is>
      </c>
    </row>
    <row r="60">
      <c r="A60" t="inlineStr">
        <is>
          <t>MarshalTianpeng_B</t>
        </is>
      </c>
      <c r="B60" t="inlineStr">
        <is>
          <t>MarshalTianpeng_B_Name</t>
        </is>
      </c>
      <c r="C60" t="inlineStr">
        <is>
          <t>MarshalTianpeng_B_Des</t>
        </is>
      </c>
      <c r="D60" s="37" t="inlineStr">
        <is>
          <t>Melee</t>
        </is>
      </c>
      <c r="E60" s="37" t="inlineStr">
        <is>
          <t>0.8, 1, 1.2</t>
        </is>
      </c>
      <c r="F60" s="37" t="inlineStr">
        <is>
          <t>0, 0, 0</t>
        </is>
      </c>
      <c r="G60" s="37" t="inlineStr">
        <is>
          <t>BasicAttack</t>
        </is>
      </c>
      <c r="H60" s="37" t="inlineStr">
        <is>
          <t>SingleEnemy</t>
        </is>
      </c>
      <c r="I60" s="36" t="inlineStr">
        <is>
          <t>None</t>
        </is>
      </c>
      <c r="J60" s="28" t="inlineStr">
        <is>
          <t>ZhuBaJie_Attack</t>
        </is>
      </c>
      <c r="K60" s="37" t="inlineStr">
        <is>
          <t>None</t>
        </is>
      </c>
    </row>
    <row r="61">
      <c r="A61" t="inlineStr">
        <is>
          <t>MarshalTianpeng_M</t>
        </is>
      </c>
      <c r="B61" t="inlineStr">
        <is>
          <t>MarshalTianpeng_M_Name</t>
        </is>
      </c>
      <c r="C61" t="inlineStr">
        <is>
          <t>MarshalTianpeng_M_Des</t>
        </is>
      </c>
      <c r="D61" s="37" t="inlineStr">
        <is>
          <t>BuffShield</t>
        </is>
      </c>
      <c r="E61" s="37" t="inlineStr">
        <is>
          <t>0.25, 0.3, 0.35</t>
        </is>
      </c>
      <c r="F61" s="37" t="inlineStr">
        <is>
          <t>4.0, 4.0, 3.0</t>
        </is>
      </c>
      <c r="G61" t="inlineStr">
        <is>
          <t>NonAttackSkill</t>
        </is>
      </c>
      <c r="H61" s="37" t="inlineStr">
        <is>
          <t>Self</t>
        </is>
      </c>
      <c r="I61" s="36" t="inlineStr">
        <is>
          <t>None</t>
        </is>
      </c>
      <c r="J61" s="28" t="inlineStr">
        <is>
          <t>ZhuBaJie_Major</t>
        </is>
      </c>
      <c r="K61" s="37" t="inlineStr">
        <is>
          <t>None</t>
        </is>
      </c>
    </row>
    <row r="62">
      <c r="A62" t="inlineStr">
        <is>
          <t>MarshalTianpeng_U</t>
        </is>
      </c>
      <c r="B62" t="inlineStr">
        <is>
          <t>MarshalTianpeng_U_Name</t>
        </is>
      </c>
      <c r="C62" t="inlineStr">
        <is>
          <t>MarshalTianpeng_U_Des</t>
        </is>
      </c>
      <c r="D62" s="36" t="inlineStr">
        <is>
          <t>EmpowerAttack</t>
        </is>
      </c>
      <c r="E62" s="37" t="inlineStr">
        <is>
          <t>1.5, 1.8, 1.8</t>
        </is>
      </c>
      <c r="F62" s="37" t="inlineStr">
        <is>
          <t>5.0, 5.0, 4.0</t>
        </is>
      </c>
      <c r="G62" s="37" t="inlineStr">
        <is>
          <t>ActiveSkill</t>
        </is>
      </c>
      <c r="H62" s="37" t="inlineStr">
        <is>
          <t>SingleEnemy</t>
        </is>
      </c>
      <c r="I62" s="36" t="inlineStr">
        <is>
          <t>None</t>
        </is>
      </c>
      <c r="J62" s="28" t="inlineStr">
        <is>
          <t>ZhuBaJie_Main</t>
        </is>
      </c>
      <c r="K62" s="37" t="inlineStr">
        <is>
          <t>None</t>
        </is>
      </c>
    </row>
    <row r="63">
      <c r="A63" s="10" t="inlineStr">
        <is>
          <t>ThirdDragonPrince_B</t>
        </is>
      </c>
      <c r="B63" t="inlineStr">
        <is>
          <t>ThirdDragonPrince_B_Name</t>
        </is>
      </c>
      <c r="C63" t="inlineStr">
        <is>
          <t>ThirdDragonPrince_B_Des</t>
        </is>
      </c>
      <c r="D63" s="37" t="inlineStr">
        <is>
          <t>Melee</t>
        </is>
      </c>
      <c r="E63" s="37" t="inlineStr">
        <is>
          <t>0.8, 1, 1.2</t>
        </is>
      </c>
      <c r="F63" s="37" t="inlineStr">
        <is>
          <t>0, 0, 0</t>
        </is>
      </c>
      <c r="G63" s="37" t="inlineStr">
        <is>
          <t>BasicAttack</t>
        </is>
      </c>
      <c r="H63" s="37" t="inlineStr">
        <is>
          <t>SingleEnemy</t>
        </is>
      </c>
      <c r="I63" s="36" t="inlineStr">
        <is>
          <t>None</t>
        </is>
      </c>
      <c r="J63" s="28" t="inlineStr">
        <is>
          <t>GoldfishDemon_Attack</t>
        </is>
      </c>
      <c r="K63" s="37" t="inlineStr">
        <is>
          <t>None</t>
        </is>
      </c>
    </row>
    <row r="64">
      <c r="A64" s="10" t="inlineStr">
        <is>
          <t>ThirdDragonPrince_M</t>
        </is>
      </c>
      <c r="B64" t="inlineStr">
        <is>
          <t>ThirdDragonPrince_M_Name</t>
        </is>
      </c>
      <c r="C64" t="inlineStr">
        <is>
          <t>ThirdDragonPrince_M_Des</t>
        </is>
      </c>
      <c r="D64" s="37" t="inlineStr">
        <is>
          <t>FrozenBall</t>
        </is>
      </c>
      <c r="E64" s="37" t="inlineStr">
        <is>
          <t>1, 1.5, 1.5</t>
        </is>
      </c>
      <c r="F64" s="37" t="inlineStr">
        <is>
          <t>4.0, 4.0, 3.0</t>
        </is>
      </c>
      <c r="G64" s="37" t="inlineStr">
        <is>
          <t>ActiveSkill</t>
        </is>
      </c>
      <c r="H64" s="37" t="inlineStr">
        <is>
          <t>SingleEnemy</t>
        </is>
      </c>
      <c r="I64" s="36" t="inlineStr">
        <is>
          <t>None</t>
        </is>
      </c>
      <c r="J64" s="28" t="inlineStr">
        <is>
          <t>ThirdDragonPrince_Major</t>
        </is>
      </c>
      <c r="K64" s="37" t="inlineStr">
        <is>
          <t>None</t>
        </is>
      </c>
    </row>
    <row r="65">
      <c r="A65" s="10" t="inlineStr">
        <is>
          <t>ThirdDragonPrince_U</t>
        </is>
      </c>
      <c r="B65" t="inlineStr">
        <is>
          <t>ThirdDragonPrince_U_Name</t>
        </is>
      </c>
      <c r="C65" t="inlineStr">
        <is>
          <t>ThirdDragonPrince_U_Des</t>
        </is>
      </c>
      <c r="D65" s="36" t="inlineStr">
        <is>
          <t>EmpowerAttack</t>
        </is>
      </c>
      <c r="E65" s="37" t="inlineStr">
        <is>
          <t>1.5, 1.8, 1.8</t>
        </is>
      </c>
      <c r="F65" s="37" t="inlineStr">
        <is>
          <t>5.0, 5.0, 4.0</t>
        </is>
      </c>
      <c r="G65" s="37" t="inlineStr">
        <is>
          <t>ActiveSkill</t>
        </is>
      </c>
      <c r="H65" s="37" t="inlineStr">
        <is>
          <t>SingleEnemy</t>
        </is>
      </c>
      <c r="I65" s="36" t="inlineStr">
        <is>
          <t>EFF_Frozen_def</t>
        </is>
      </c>
      <c r="J65" t="inlineStr">
        <is>
          <t>ThirdDragonPrince_Ultimate</t>
        </is>
      </c>
      <c r="K65" s="37" t="inlineStr">
        <is>
          <t>None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J16" sqref="J16"/>
    </sheetView>
  </sheetViews>
  <sheetFormatPr baseColWidth="8" defaultRowHeight="15"/>
  <cols>
    <col width="22.140625" bestFit="1" customWidth="1" style="35" min="1" max="1"/>
  </cols>
  <sheetData>
    <row r="1">
      <c r="A1" s="41" t="inlineStr">
        <is>
          <t>ID</t>
        </is>
      </c>
      <c r="B1" s="41" t="inlineStr">
        <is>
          <t>hp</t>
        </is>
      </c>
      <c r="C1" s="41" t="inlineStr">
        <is>
          <t>atk</t>
        </is>
      </c>
      <c r="D1" s="41" t="inlineStr">
        <is>
          <t>def</t>
        </is>
      </c>
    </row>
    <row r="2">
      <c r="A2" t="inlineStr">
        <is>
          <t>SunWukong</t>
        </is>
      </c>
      <c r="B2">
        <f>ROUND(CharacterStat!F2 * 0.05, 0)</f>
        <v/>
      </c>
      <c r="C2">
        <f>ROUND(CharacterStat!G2 * 0.05, 0)</f>
        <v/>
      </c>
      <c r="D2">
        <f>ROUND(CharacterStat!H2 * 0.05, 0)</f>
        <v/>
      </c>
    </row>
    <row r="3">
      <c r="A3" t="inlineStr">
        <is>
          <t>TangSanZang</t>
        </is>
      </c>
      <c r="B3">
        <f>ROUND(CharacterStat!F3 * 0.05, 0)</f>
        <v/>
      </c>
      <c r="C3">
        <f>ROUND(CharacterStat!G3 * 0.05, 0)</f>
        <v/>
      </c>
      <c r="D3">
        <f>ROUND(CharacterStat!H3 * 0.05, 0)</f>
        <v/>
      </c>
    </row>
    <row r="4">
      <c r="A4" t="inlineStr">
        <is>
          <t>ZhuBaJie</t>
        </is>
      </c>
      <c r="B4">
        <f>ROUND(CharacterStat!F4 * 0.05, 0)</f>
        <v/>
      </c>
      <c r="C4">
        <f>ROUND(CharacterStat!G4 * 0.05, 0)</f>
        <v/>
      </c>
      <c r="D4">
        <f>ROUND(CharacterStat!H4 * 0.05, 0)</f>
        <v/>
      </c>
    </row>
    <row r="5">
      <c r="A5" t="inlineStr">
        <is>
          <t>ShaWujing</t>
        </is>
      </c>
      <c r="B5">
        <f>ROUND(CharacterStat!F5 * 0.05, 0)</f>
        <v/>
      </c>
      <c r="C5">
        <f>ROUND(CharacterStat!G5 * 0.05, 0)</f>
        <v/>
      </c>
      <c r="D5">
        <f>ROUND(CharacterStat!H5 * 0.05, 0)</f>
        <v/>
      </c>
    </row>
    <row r="6">
      <c r="A6" s="23" t="inlineStr">
        <is>
          <t>DragonKing</t>
        </is>
      </c>
      <c r="B6">
        <f>ROUND(CharacterStat!F6 * 0.05, 0)</f>
        <v/>
      </c>
      <c r="C6">
        <f>ROUND(CharacterStat!G6 * 0.05, 0)</f>
        <v/>
      </c>
      <c r="D6">
        <f>ROUND(CharacterStat!H6 * 0.05, 0)</f>
        <v/>
      </c>
    </row>
    <row r="7">
      <c r="A7" t="inlineStr">
        <is>
          <t>ThirdPrinceNezha</t>
        </is>
      </c>
      <c r="B7">
        <f>ROUND(CharacterStat!F7 * 0.05, 0)</f>
        <v/>
      </c>
      <c r="C7">
        <f>ROUND(CharacterStat!G7 * 0.05, 0)</f>
        <v/>
      </c>
      <c r="D7">
        <f>ROUND(CharacterStat!H7 * 0.05, 0)</f>
        <v/>
      </c>
    </row>
    <row r="8">
      <c r="A8" t="inlineStr">
        <is>
          <t>LittleWhiteDragon</t>
        </is>
      </c>
      <c r="B8">
        <f>ROUND(CharacterStat!F8 * 0.05, 0)</f>
        <v/>
      </c>
      <c r="C8">
        <f>ROUND(CharacterStat!G8 * 0.05, 0)</f>
        <v/>
      </c>
      <c r="D8">
        <f>ROUND(CharacterStat!H8 * 0.05, 0)</f>
        <v/>
      </c>
    </row>
    <row r="9">
      <c r="A9" t="inlineStr">
        <is>
          <t>BullDemonKing</t>
        </is>
      </c>
      <c r="B9">
        <f>ROUND(CharacterStat!F9 * 0.05, 0)</f>
        <v/>
      </c>
      <c r="C9">
        <f>ROUND(CharacterStat!G9 * 0.05, 0)</f>
        <v/>
      </c>
      <c r="D9">
        <f>ROUND(CharacterStat!H9 * 0.05, 0)</f>
        <v/>
      </c>
    </row>
    <row r="10">
      <c r="A10" t="inlineStr">
        <is>
          <t>ErlangShen</t>
        </is>
      </c>
      <c r="B10">
        <f>ROUND(CharacterStat!F10 * 0.05, 0)</f>
        <v/>
      </c>
      <c r="C10">
        <f>ROUND(CharacterStat!G10 * 0.05, 0)</f>
        <v/>
      </c>
      <c r="D10">
        <f>ROUND(CharacterStat!H10 * 0.05, 0)</f>
        <v/>
      </c>
    </row>
    <row r="11">
      <c r="A11" s="23" t="inlineStr">
        <is>
          <t>GuanyinBodhisattva</t>
        </is>
      </c>
      <c r="B11">
        <f>ROUND(CharacterStat!F11 * 0.05, 0)</f>
        <v/>
      </c>
      <c r="C11">
        <f>ROUND(CharacterStat!G11 * 0.05, 0)</f>
        <v/>
      </c>
      <c r="D11">
        <f>ROUND(CharacterStat!H11 * 0.05, 0)</f>
        <v/>
      </c>
    </row>
    <row r="12">
      <c r="A12" s="11" t="inlineStr">
        <is>
          <t>VanguardTiger</t>
        </is>
      </c>
      <c r="B12">
        <f>ROUND(CharacterStat!F12 * 0.05, 0)</f>
        <v/>
      </c>
      <c r="C12">
        <f>ROUND(CharacterStat!G12 * 0.05, 0)</f>
        <v/>
      </c>
      <c r="D12">
        <f>ROUND(CharacterStat!H12 * 0.05, 0)</f>
        <v/>
      </c>
    </row>
    <row r="13">
      <c r="A13" s="22" t="inlineStr">
        <is>
          <t>TheBoySage</t>
        </is>
      </c>
      <c r="B13">
        <f>ROUND(CharacterStat!F13 * 0.05, 0)</f>
        <v/>
      </c>
      <c r="C13">
        <f>ROUND(CharacterStat!G13 * 0.05, 0)</f>
        <v/>
      </c>
      <c r="D13">
        <f>ROUND(CharacterStat!H13 * 0.05, 0)</f>
        <v/>
      </c>
    </row>
    <row r="14">
      <c r="A14" s="22" t="inlineStr">
        <is>
          <t>GoldHornKing</t>
        </is>
      </c>
      <c r="B14">
        <f>ROUND(CharacterStat!F14 * 0.05, 0)</f>
        <v/>
      </c>
      <c r="C14">
        <f>ROUND(CharacterStat!G14 * 0.05, 0)</f>
        <v/>
      </c>
      <c r="D14">
        <f>ROUND(CharacterStat!H14 * 0.05, 0)</f>
        <v/>
      </c>
    </row>
    <row r="15">
      <c r="A15" s="22" t="inlineStr">
        <is>
          <t>SilverHornKing</t>
        </is>
      </c>
      <c r="B15">
        <f>ROUND(CharacterStat!F15 * 0.05, 0)</f>
        <v/>
      </c>
      <c r="C15">
        <f>ROUND(CharacterStat!G15 * 0.05, 0)</f>
        <v/>
      </c>
      <c r="D15">
        <f>ROUND(CharacterStat!H15 * 0.05, 0)</f>
        <v/>
      </c>
    </row>
    <row r="16">
      <c r="A16" s="22" t="inlineStr">
        <is>
          <t>YellowWindMonster</t>
        </is>
      </c>
      <c r="B16">
        <f>ROUND(CharacterStat!F16 * 0.05, 0)</f>
        <v/>
      </c>
      <c r="C16">
        <f>ROUND(CharacterStat!G16 * 0.05, 0)</f>
        <v/>
      </c>
      <c r="D16">
        <f>ROUND(CharacterStat!H16 * 0.05, 0)</f>
        <v/>
      </c>
    </row>
    <row r="17">
      <c r="A17" s="22" t="inlineStr">
        <is>
          <t>GoldfishDemon</t>
        </is>
      </c>
      <c r="B17">
        <f>ROUND(CharacterStat!F17 * 0.05, 0)</f>
        <v/>
      </c>
      <c r="C17">
        <f>ROUND(CharacterStat!G17 * 0.05, 0)</f>
        <v/>
      </c>
      <c r="D17">
        <f>ROUND(CharacterStat!H17 * 0.05, 0)</f>
        <v/>
      </c>
    </row>
    <row r="18">
      <c r="A18" s="11" t="inlineStr">
        <is>
          <t>HeavenlySoddier</t>
        </is>
      </c>
      <c r="B18">
        <f>ROUND(CharacterStat!F18 * 0.05, 0)</f>
        <v/>
      </c>
      <c r="C18">
        <f>ROUND(CharacterStat!G18 * 0.05, 0)</f>
        <v/>
      </c>
      <c r="D18">
        <f>ROUND(CharacterStat!H18 * 0.05, 0)</f>
        <v/>
      </c>
    </row>
    <row r="19">
      <c r="A19" s="11" t="inlineStr">
        <is>
          <t>YoungBufflalo</t>
        </is>
      </c>
      <c r="B19">
        <f>ROUND(CharacterStat!F19 * 0.05, 0)</f>
        <v/>
      </c>
      <c r="C19">
        <f>ROUND(CharacterStat!G19 * 0.05, 0)</f>
        <v/>
      </c>
      <c r="D19">
        <f>ROUND(CharacterStat!H19 * 0.05, 0)</f>
        <v/>
      </c>
    </row>
    <row r="20">
      <c r="A20" s="11" t="inlineStr">
        <is>
          <t>Minions</t>
        </is>
      </c>
      <c r="B20">
        <f>ROUND(CharacterStat!F20 * 0.05, 0)</f>
        <v/>
      </c>
      <c r="C20">
        <f>ROUND(CharacterStat!G20 * 0.05, 0)</f>
        <v/>
      </c>
      <c r="D20">
        <f>ROUND(CharacterStat!H20 * 0.05, 0)</f>
        <v/>
      </c>
    </row>
    <row r="21">
      <c r="A21" s="11" t="inlineStr">
        <is>
          <t>RatMonster</t>
        </is>
      </c>
      <c r="B21">
        <f>ROUND(CharacterStat!F21 * 0.05, 0)</f>
        <v/>
      </c>
      <c r="C21">
        <f>ROUND(CharacterStat!G21 * 0.05, 0)</f>
        <v/>
      </c>
      <c r="D21">
        <f>ROUND(CharacterStat!H21 * 0.05, 0)</f>
        <v/>
      </c>
    </row>
    <row r="22">
      <c r="A22" s="11" t="inlineStr">
        <is>
          <t>CrabSolider</t>
        </is>
      </c>
      <c r="B22">
        <f>ROUND(CharacterStat!F22 * 0.05, 0)</f>
        <v/>
      </c>
      <c r="C22">
        <f>ROUND(CharacterStat!G22 * 0.05, 0)</f>
        <v/>
      </c>
      <c r="D22">
        <f>ROUND(CharacterStat!H22 * 0.05, 0)</f>
        <v/>
      </c>
    </row>
    <row r="23">
      <c r="A23" s="11" t="inlineStr">
        <is>
          <t>SquidSolider</t>
        </is>
      </c>
      <c r="B23">
        <f>ROUND(CharacterStat!F23 * 0.05, 0)</f>
        <v/>
      </c>
      <c r="C23">
        <f>ROUND(CharacterStat!G23 * 0.05, 0)</f>
        <v/>
      </c>
      <c r="D23">
        <f>ROUND(CharacterStat!H23 * 0.05, 0)</f>
        <v/>
      </c>
    </row>
    <row r="24">
      <c r="A24" s="11" t="inlineStr">
        <is>
          <t>Benborba</t>
        </is>
      </c>
      <c r="B24">
        <f>ROUND(CharacterStat!F24 * 0.05, 0)</f>
        <v/>
      </c>
      <c r="C24">
        <f>ROUND(CharacterStat!G24 * 0.05, 0)</f>
        <v/>
      </c>
      <c r="D24">
        <f>ROUND(CharacterStat!H24 * 0.05, 0)</f>
        <v/>
      </c>
    </row>
    <row r="25">
      <c r="A25" s="11" t="inlineStr">
        <is>
          <t>Baborben</t>
        </is>
      </c>
      <c r="B25">
        <f>ROUND(CharacterStat!F25 * 0.05, 0)</f>
        <v/>
      </c>
      <c r="C25">
        <f>ROUND(CharacterStat!G25 * 0.05, 0)</f>
        <v/>
      </c>
      <c r="D25">
        <f>ROUND(CharacterStat!H25 * 0.05, 0)</f>
        <v/>
      </c>
    </row>
    <row r="26">
      <c r="A26" t="inlineStr">
        <is>
          <t>LiJing</t>
        </is>
      </c>
      <c r="B26">
        <f>ROUND(CharacterStat!F26 * 0.05, 0)</f>
        <v/>
      </c>
      <c r="C26">
        <f>ROUND(CharacterStat!G26 * 0.05, 0)</f>
        <v/>
      </c>
      <c r="D26">
        <f>ROUND(CharacterStat!H26 * 0.05, 0)</f>
        <v/>
      </c>
    </row>
    <row r="27">
      <c r="A27" t="inlineStr">
        <is>
          <t>MarshalTianpeng</t>
        </is>
      </c>
      <c r="B27">
        <f>ROUND(CharacterStat!F27 * 0.05, 0)</f>
        <v/>
      </c>
      <c r="C27">
        <f>ROUND(CharacterStat!G27 * 0.05, 0)</f>
        <v/>
      </c>
      <c r="D27">
        <f>ROUND(CharacterStat!H27 * 0.05, 0)</f>
        <v/>
      </c>
    </row>
    <row r="28">
      <c r="A28" t="inlineStr">
        <is>
          <t>ThirdPrinceNezha_Boss</t>
        </is>
      </c>
      <c r="B28">
        <f>ROUND(CharacterStat!F28 * 0.05, 0)</f>
        <v/>
      </c>
      <c r="C28">
        <f>ROUND(CharacterStat!G28 * 0.05, 0)</f>
        <v/>
      </c>
      <c r="D28">
        <f>ROUND(CharacterStat!H28 * 0.05, 0)</f>
        <v/>
      </c>
    </row>
    <row r="29">
      <c r="A29" t="inlineStr">
        <is>
          <t>BullDemonKing_Boss</t>
        </is>
      </c>
      <c r="B29">
        <f>ROUND(CharacterStat!F29 * 0.05, 0)</f>
        <v/>
      </c>
      <c r="C29">
        <f>ROUND(CharacterStat!G29 * 0.05, 0)</f>
        <v/>
      </c>
      <c r="D29">
        <f>ROUND(CharacterStat!H29 * 0.05, 0)</f>
        <v/>
      </c>
    </row>
    <row r="30">
      <c r="A30" t="inlineStr">
        <is>
          <t>ErlangShen_Boss</t>
        </is>
      </c>
      <c r="B30">
        <f>ROUND(CharacterStat!F30 * 0.05, 0)</f>
        <v/>
      </c>
      <c r="C30">
        <f>ROUND(CharacterStat!G30 * 0.05, 0)</f>
        <v/>
      </c>
      <c r="D30">
        <f>ROUND(CharacterStat!H30 * 0.05, 0)</f>
        <v/>
      </c>
    </row>
    <row r="31">
      <c r="A31" t="inlineStr">
        <is>
          <t>LiJing_Boss</t>
        </is>
      </c>
      <c r="B31">
        <f>ROUND(CharacterStat!F31 * 0.05, 0)</f>
        <v/>
      </c>
      <c r="C31">
        <f>ROUND(CharacterStat!G31 * 0.05, 0)</f>
        <v/>
      </c>
      <c r="D31">
        <f>ROUND(CharacterStat!H31 * 0.05, 0)</f>
        <v/>
      </c>
    </row>
    <row r="32">
      <c r="A32" t="inlineStr">
        <is>
          <t>ThirdDragonPrince</t>
        </is>
      </c>
      <c r="B32">
        <f>ROUND(CharacterStat!F32 * 0.05, 0)</f>
        <v/>
      </c>
      <c r="C32">
        <f>ROUND(CharacterStat!G32 * 0.05, 0)</f>
        <v/>
      </c>
      <c r="D32">
        <f>ROUND(CharacterStat!H32 * 0.05, 0)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5" sqref="A15"/>
    </sheetView>
  </sheetViews>
  <sheetFormatPr baseColWidth="8" defaultRowHeight="15"/>
  <cols>
    <col width="21.140625" bestFit="1" customWidth="1" style="35" min="1" max="1"/>
    <col width="13.5703125" bestFit="1" customWidth="1" style="35" min="4" max="4"/>
    <col width="15.140625" customWidth="1" style="35" min="6" max="6"/>
  </cols>
  <sheetData>
    <row r="1">
      <c r="A1" s="16" t="inlineStr">
        <is>
          <t>ID</t>
        </is>
      </c>
      <c r="B1" s="16" t="inlineStr">
        <is>
          <t>Rare</t>
        </is>
      </c>
      <c r="C1" s="16" t="inlineStr">
        <is>
          <t>Type</t>
        </is>
      </c>
      <c r="D1" s="16" t="inlineStr">
        <is>
          <t>AttributeType</t>
        </is>
      </c>
      <c r="E1" s="16" t="inlineStr">
        <is>
          <t>StatLink</t>
        </is>
      </c>
      <c r="F1" s="16" t="inlineStr">
        <is>
          <t>StartPercent</t>
        </is>
      </c>
    </row>
    <row r="2">
      <c r="A2" t="inlineStr">
        <is>
          <t>SunWukong</t>
        </is>
      </c>
      <c r="B2" s="2" t="inlineStr">
        <is>
          <t>UR</t>
        </is>
      </c>
      <c r="C2" s="18" t="inlineStr">
        <is>
          <t>Fighter</t>
        </is>
      </c>
      <c r="D2" s="36" t="inlineStr">
        <is>
          <t>hp</t>
        </is>
      </c>
      <c r="E2" s="36" t="inlineStr">
        <is>
          <t>HP</t>
        </is>
      </c>
      <c r="F2" s="36" t="inlineStr">
        <is>
          <t>1.0</t>
        </is>
      </c>
    </row>
    <row r="3">
      <c r="A3" t="inlineStr">
        <is>
          <t>TangSanZang</t>
        </is>
      </c>
      <c r="B3" s="17" t="inlineStr">
        <is>
          <t>R</t>
        </is>
      </c>
      <c r="C3" s="10" t="inlineStr">
        <is>
          <t>Mage</t>
        </is>
      </c>
      <c r="D3" s="36" t="inlineStr">
        <is>
          <t>hp</t>
        </is>
      </c>
      <c r="E3" s="36" t="inlineStr">
        <is>
          <t>HP</t>
        </is>
      </c>
      <c r="F3" s="36" t="inlineStr">
        <is>
          <t>1.0</t>
        </is>
      </c>
    </row>
    <row r="4">
      <c r="A4" t="inlineStr">
        <is>
          <t>ZhuBaJie</t>
        </is>
      </c>
      <c r="B4" s="14" t="inlineStr">
        <is>
          <t>SSR</t>
        </is>
      </c>
      <c r="C4" s="19" t="inlineStr">
        <is>
          <t>Tanker</t>
        </is>
      </c>
      <c r="D4" s="36" t="inlineStr">
        <is>
          <t>hp</t>
        </is>
      </c>
      <c r="E4" s="36" t="inlineStr">
        <is>
          <t>HP</t>
        </is>
      </c>
      <c r="F4" s="36" t="inlineStr">
        <is>
          <t>1.0</t>
        </is>
      </c>
    </row>
    <row r="5">
      <c r="A5" t="inlineStr">
        <is>
          <t>ShaWujing</t>
        </is>
      </c>
      <c r="B5" s="3" t="inlineStr">
        <is>
          <t>SR</t>
        </is>
      </c>
      <c r="C5" s="20" t="inlineStr">
        <is>
          <t>Support</t>
        </is>
      </c>
      <c r="D5" s="36" t="inlineStr">
        <is>
          <t>hp</t>
        </is>
      </c>
      <c r="E5" s="36" t="inlineStr">
        <is>
          <t>HP</t>
        </is>
      </c>
      <c r="F5" s="36" t="inlineStr">
        <is>
          <t>1.0</t>
        </is>
      </c>
    </row>
    <row r="6">
      <c r="A6" t="inlineStr">
        <is>
          <t>DragonKing</t>
        </is>
      </c>
      <c r="B6" s="3" t="inlineStr">
        <is>
          <t>SR</t>
        </is>
      </c>
      <c r="C6" s="20" t="inlineStr">
        <is>
          <t>Support</t>
        </is>
      </c>
      <c r="D6" s="36" t="inlineStr">
        <is>
          <t>hp</t>
        </is>
      </c>
      <c r="E6" s="36" t="inlineStr">
        <is>
          <t>HP</t>
        </is>
      </c>
      <c r="F6" s="36" t="inlineStr">
        <is>
          <t>1.0</t>
        </is>
      </c>
    </row>
    <row r="7">
      <c r="A7" t="inlineStr">
        <is>
          <t>ThirdPrinceNezha</t>
        </is>
      </c>
      <c r="B7" s="14" t="inlineStr">
        <is>
          <t>SSR</t>
        </is>
      </c>
      <c r="C7" s="21" t="inlineStr">
        <is>
          <t>Assassin</t>
        </is>
      </c>
      <c r="D7" s="36" t="inlineStr">
        <is>
          <t>hp</t>
        </is>
      </c>
      <c r="E7" s="36" t="inlineStr">
        <is>
          <t>HP</t>
        </is>
      </c>
      <c r="F7" s="36" t="inlineStr">
        <is>
          <t>1.0</t>
        </is>
      </c>
    </row>
    <row r="8">
      <c r="A8" t="inlineStr">
        <is>
          <t>LittleWhiteDragon</t>
        </is>
      </c>
      <c r="B8" s="3" t="inlineStr">
        <is>
          <t>SR</t>
        </is>
      </c>
      <c r="C8" s="11" t="inlineStr">
        <is>
          <t>ADCarry</t>
        </is>
      </c>
      <c r="D8" s="36" t="inlineStr">
        <is>
          <t>hp</t>
        </is>
      </c>
      <c r="E8" s="36" t="inlineStr">
        <is>
          <t>HP</t>
        </is>
      </c>
      <c r="F8" s="36" t="inlineStr">
        <is>
          <t>1.0</t>
        </is>
      </c>
    </row>
    <row r="9">
      <c r="A9" t="inlineStr">
        <is>
          <t>BullDemonKing</t>
        </is>
      </c>
      <c r="B9" s="2" t="inlineStr">
        <is>
          <t>UR</t>
        </is>
      </c>
      <c r="C9" s="19" t="inlineStr">
        <is>
          <t>Tanker</t>
        </is>
      </c>
      <c r="D9" s="36" t="inlineStr">
        <is>
          <t>hp</t>
        </is>
      </c>
      <c r="E9" s="36" t="inlineStr">
        <is>
          <t>HP</t>
        </is>
      </c>
      <c r="F9" s="36" t="inlineStr">
        <is>
          <t>1.0</t>
        </is>
      </c>
    </row>
    <row r="10">
      <c r="A10" t="inlineStr">
        <is>
          <t>ErlangShen</t>
        </is>
      </c>
      <c r="B10" s="2" t="inlineStr">
        <is>
          <t>UR</t>
        </is>
      </c>
      <c r="C10" s="19" t="inlineStr">
        <is>
          <t>Tanker</t>
        </is>
      </c>
      <c r="D10" s="36" t="inlineStr">
        <is>
          <t>hp</t>
        </is>
      </c>
      <c r="E10" s="36" t="inlineStr">
        <is>
          <t>HP</t>
        </is>
      </c>
      <c r="F10" s="36" t="inlineStr">
        <is>
          <t>1.0</t>
        </is>
      </c>
    </row>
    <row r="11">
      <c r="A11" t="inlineStr">
        <is>
          <t>GuanyinBodhisattva</t>
        </is>
      </c>
      <c r="B11" s="2" t="inlineStr">
        <is>
          <t>UR</t>
        </is>
      </c>
      <c r="C11" s="10" t="inlineStr">
        <is>
          <t>Mage</t>
        </is>
      </c>
      <c r="D11" s="36" t="inlineStr">
        <is>
          <t>hp</t>
        </is>
      </c>
      <c r="E11" s="36" t="inlineStr">
        <is>
          <t>HP</t>
        </is>
      </c>
      <c r="F11" s="36" t="inlineStr">
        <is>
          <t>1.0</t>
        </is>
      </c>
    </row>
    <row r="12">
      <c r="A12" s="22" t="inlineStr">
        <is>
          <t xml:space="preserve">VanguardTiger </t>
        </is>
      </c>
      <c r="B12" s="17" t="inlineStr">
        <is>
          <t>R</t>
        </is>
      </c>
      <c r="C12" s="18" t="inlineStr">
        <is>
          <t>Fighter</t>
        </is>
      </c>
      <c r="D12" s="36" t="inlineStr">
        <is>
          <t>hp</t>
        </is>
      </c>
      <c r="E12" s="36" t="inlineStr">
        <is>
          <t>HP</t>
        </is>
      </c>
      <c r="F12" s="36" t="inlineStr">
        <is>
          <t>1.0</t>
        </is>
      </c>
    </row>
    <row r="13">
      <c r="A13" s="22" t="inlineStr">
        <is>
          <t>TheBoySage</t>
        </is>
      </c>
      <c r="B13" s="2" t="inlineStr">
        <is>
          <t>UR</t>
        </is>
      </c>
      <c r="C13" s="21" t="inlineStr">
        <is>
          <t>Assassin</t>
        </is>
      </c>
      <c r="D13" s="36" t="inlineStr">
        <is>
          <t>hp</t>
        </is>
      </c>
      <c r="E13" s="36" t="inlineStr">
        <is>
          <t>HP</t>
        </is>
      </c>
      <c r="F13" s="36" t="inlineStr">
        <is>
          <t>1.0</t>
        </is>
      </c>
    </row>
    <row r="14">
      <c r="A14" s="22" t="inlineStr">
        <is>
          <t>GoldHornKing</t>
        </is>
      </c>
      <c r="B14" s="14" t="inlineStr">
        <is>
          <t>SSR</t>
        </is>
      </c>
      <c r="C14" s="10" t="inlineStr">
        <is>
          <t>Mage</t>
        </is>
      </c>
      <c r="D14" s="36" t="inlineStr">
        <is>
          <t>hp</t>
        </is>
      </c>
      <c r="E14" s="36" t="inlineStr">
        <is>
          <t>HP</t>
        </is>
      </c>
      <c r="F14" s="36" t="inlineStr">
        <is>
          <t>1.0</t>
        </is>
      </c>
    </row>
    <row r="15">
      <c r="A15" s="22" t="inlineStr">
        <is>
          <t>SilverHornKing</t>
        </is>
      </c>
      <c r="B15" s="14" t="inlineStr">
        <is>
          <t>SSR</t>
        </is>
      </c>
      <c r="C15" s="10" t="inlineStr">
        <is>
          <t>Mage</t>
        </is>
      </c>
      <c r="D15" s="36" t="inlineStr">
        <is>
          <t>hp</t>
        </is>
      </c>
      <c r="E15" s="36" t="inlineStr">
        <is>
          <t>HP</t>
        </is>
      </c>
      <c r="F15" s="36" t="inlineStr">
        <is>
          <t>1.0</t>
        </is>
      </c>
    </row>
    <row r="16">
      <c r="A16" s="22" t="inlineStr">
        <is>
          <t>YellowWindMonster</t>
        </is>
      </c>
      <c r="B16" s="2" t="inlineStr">
        <is>
          <t>UR</t>
        </is>
      </c>
      <c r="C16" s="21" t="inlineStr">
        <is>
          <t>Assassin</t>
        </is>
      </c>
      <c r="D16" s="36" t="inlineStr">
        <is>
          <t>hp</t>
        </is>
      </c>
      <c r="E16" s="36" t="inlineStr">
        <is>
          <t>HP</t>
        </is>
      </c>
      <c r="F16" s="36" t="inlineStr">
        <is>
          <t>1.0</t>
        </is>
      </c>
    </row>
    <row r="17">
      <c r="A17" s="22" t="inlineStr">
        <is>
          <t>GoldfishDemon</t>
        </is>
      </c>
      <c r="B17" s="14" t="inlineStr">
        <is>
          <t>SSR</t>
        </is>
      </c>
      <c r="C17" s="18" t="inlineStr">
        <is>
          <t>Fighter</t>
        </is>
      </c>
      <c r="D17" s="36" t="inlineStr">
        <is>
          <t>hp</t>
        </is>
      </c>
      <c r="E17" s="36" t="inlineStr">
        <is>
          <t>HP</t>
        </is>
      </c>
      <c r="F17" s="36" t="inlineStr">
        <is>
          <t>1.0</t>
        </is>
      </c>
    </row>
    <row r="18">
      <c r="A18" s="22" t="inlineStr">
        <is>
          <t>HeavenlySoddier</t>
        </is>
      </c>
      <c r="B18" s="17" t="inlineStr">
        <is>
          <t>R</t>
        </is>
      </c>
      <c r="C18" s="18" t="inlineStr">
        <is>
          <t>Fighter</t>
        </is>
      </c>
      <c r="D18" s="36" t="inlineStr">
        <is>
          <t>hp</t>
        </is>
      </c>
      <c r="E18" s="36" t="inlineStr">
        <is>
          <t>HP</t>
        </is>
      </c>
      <c r="F18" s="36" t="inlineStr">
        <is>
          <t>1.0</t>
        </is>
      </c>
    </row>
    <row r="19">
      <c r="A19" s="22" t="inlineStr">
        <is>
          <t>YoungBufflalo</t>
        </is>
      </c>
      <c r="B19" s="17" t="inlineStr">
        <is>
          <t>R</t>
        </is>
      </c>
      <c r="C19" s="18" t="inlineStr">
        <is>
          <t>Fighter</t>
        </is>
      </c>
      <c r="D19" s="36" t="inlineStr">
        <is>
          <t>hp</t>
        </is>
      </c>
      <c r="E19" s="36" t="inlineStr">
        <is>
          <t>HP</t>
        </is>
      </c>
      <c r="F19" s="36" t="inlineStr">
        <is>
          <t>1.0</t>
        </is>
      </c>
    </row>
    <row r="20">
      <c r="A20" s="22" t="inlineStr">
        <is>
          <t>Minions</t>
        </is>
      </c>
      <c r="B20" s="17" t="inlineStr">
        <is>
          <t>R</t>
        </is>
      </c>
      <c r="C20" s="18" t="inlineStr">
        <is>
          <t>Fighter</t>
        </is>
      </c>
      <c r="D20" s="36" t="inlineStr">
        <is>
          <t>hp</t>
        </is>
      </c>
      <c r="E20" s="36" t="inlineStr">
        <is>
          <t>HP</t>
        </is>
      </c>
      <c r="F20" s="36" t="inlineStr">
        <is>
          <t>1.0</t>
        </is>
      </c>
    </row>
    <row r="21">
      <c r="A21" s="22" t="inlineStr">
        <is>
          <t>RatMonster</t>
        </is>
      </c>
      <c r="B21" s="17" t="inlineStr">
        <is>
          <t>R</t>
        </is>
      </c>
      <c r="C21" s="18" t="inlineStr">
        <is>
          <t>Fighter</t>
        </is>
      </c>
      <c r="D21" s="36" t="inlineStr">
        <is>
          <t>hp</t>
        </is>
      </c>
      <c r="E21" s="36" t="inlineStr">
        <is>
          <t>HP</t>
        </is>
      </c>
      <c r="F21" s="36" t="inlineStr">
        <is>
          <t>1.0</t>
        </is>
      </c>
    </row>
    <row r="22">
      <c r="A22" s="22" t="inlineStr">
        <is>
          <t>CrabSolider</t>
        </is>
      </c>
      <c r="B22" s="17" t="inlineStr">
        <is>
          <t>R</t>
        </is>
      </c>
      <c r="C22" s="18" t="inlineStr">
        <is>
          <t>Fighter</t>
        </is>
      </c>
      <c r="D22" s="36" t="inlineStr">
        <is>
          <t>hp</t>
        </is>
      </c>
      <c r="E22" s="36" t="inlineStr">
        <is>
          <t>HP</t>
        </is>
      </c>
      <c r="F22" s="36" t="inlineStr">
        <is>
          <t>1.0</t>
        </is>
      </c>
    </row>
    <row r="23">
      <c r="A23" s="22" t="inlineStr">
        <is>
          <t>SquidSolider</t>
        </is>
      </c>
      <c r="B23" s="17" t="inlineStr">
        <is>
          <t>R</t>
        </is>
      </c>
      <c r="C23" s="18" t="inlineStr">
        <is>
          <t>Fighter</t>
        </is>
      </c>
      <c r="D23" s="36" t="inlineStr">
        <is>
          <t>hp</t>
        </is>
      </c>
      <c r="E23" s="36" t="inlineStr">
        <is>
          <t>HP</t>
        </is>
      </c>
      <c r="F23" s="36" t="inlineStr">
        <is>
          <t>1.0</t>
        </is>
      </c>
    </row>
    <row r="24">
      <c r="A24" s="22" t="inlineStr">
        <is>
          <t>Benborba</t>
        </is>
      </c>
      <c r="B24" s="17" t="inlineStr">
        <is>
          <t>R</t>
        </is>
      </c>
      <c r="C24" s="18" t="inlineStr">
        <is>
          <t>Fighter</t>
        </is>
      </c>
      <c r="D24" s="36" t="inlineStr">
        <is>
          <t>hp</t>
        </is>
      </c>
      <c r="E24" s="36" t="inlineStr">
        <is>
          <t>HP</t>
        </is>
      </c>
      <c r="F24" s="36" t="inlineStr">
        <is>
          <t>1.0</t>
        </is>
      </c>
    </row>
    <row r="25">
      <c r="A25" s="22" t="inlineStr">
        <is>
          <t>Baborben</t>
        </is>
      </c>
      <c r="B25" s="17" t="inlineStr">
        <is>
          <t>R</t>
        </is>
      </c>
      <c r="C25" s="18" t="inlineStr">
        <is>
          <t>Fighter</t>
        </is>
      </c>
      <c r="D25" s="36" t="inlineStr">
        <is>
          <t>hp</t>
        </is>
      </c>
      <c r="E25" s="36" t="inlineStr">
        <is>
          <t>HP</t>
        </is>
      </c>
      <c r="F25" s="36" t="inlineStr">
        <is>
          <t>1.0</t>
        </is>
      </c>
    </row>
    <row r="26">
      <c r="A26" t="inlineStr">
        <is>
          <t>LiJing</t>
        </is>
      </c>
      <c r="B26" s="14" t="inlineStr">
        <is>
          <t>SSR</t>
        </is>
      </c>
      <c r="C26" s="19" t="inlineStr">
        <is>
          <t>Tanker</t>
        </is>
      </c>
      <c r="D26" s="36" t="inlineStr">
        <is>
          <t>hp</t>
        </is>
      </c>
      <c r="E26" s="36" t="inlineStr">
        <is>
          <t>HP</t>
        </is>
      </c>
      <c r="F26" s="36" t="inlineStr">
        <is>
          <t>1.0</t>
        </is>
      </c>
    </row>
    <row r="27">
      <c r="A27" t="inlineStr">
        <is>
          <t>MarshalTianpeng</t>
        </is>
      </c>
      <c r="B27" s="14" t="inlineStr">
        <is>
          <t>SSR</t>
        </is>
      </c>
      <c r="C27" s="19" t="inlineStr">
        <is>
          <t>Tanker</t>
        </is>
      </c>
      <c r="D27" s="36" t="inlineStr">
        <is>
          <t>hp</t>
        </is>
      </c>
      <c r="E27" s="36" t="inlineStr">
        <is>
          <t>HP</t>
        </is>
      </c>
      <c r="F27" s="36" t="inlineStr">
        <is>
          <t>1.0</t>
        </is>
      </c>
    </row>
    <row r="28">
      <c r="A28" t="inlineStr">
        <is>
          <t>ThirdPrinceNezha_Boss</t>
        </is>
      </c>
      <c r="B28" s="14" t="inlineStr">
        <is>
          <t>SSR</t>
        </is>
      </c>
      <c r="C28" s="21" t="inlineStr">
        <is>
          <t>Assassin</t>
        </is>
      </c>
      <c r="D28" s="36" t="inlineStr">
        <is>
          <t>hp</t>
        </is>
      </c>
      <c r="E28" s="36" t="inlineStr">
        <is>
          <t>HP</t>
        </is>
      </c>
      <c r="F28" s="36" t="inlineStr">
        <is>
          <t>1.0</t>
        </is>
      </c>
    </row>
    <row r="29">
      <c r="A29" t="inlineStr">
        <is>
          <t>BullDemonKing_Boss</t>
        </is>
      </c>
      <c r="B29" s="2" t="inlineStr">
        <is>
          <t>UR</t>
        </is>
      </c>
      <c r="C29" s="19" t="inlineStr">
        <is>
          <t>Tanker</t>
        </is>
      </c>
      <c r="D29" s="36" t="inlineStr">
        <is>
          <t>hp</t>
        </is>
      </c>
      <c r="E29" s="36" t="inlineStr">
        <is>
          <t>HP</t>
        </is>
      </c>
      <c r="F29" s="36" t="inlineStr">
        <is>
          <t>1.0</t>
        </is>
      </c>
    </row>
    <row r="30">
      <c r="A30" t="inlineStr">
        <is>
          <t>ErlangShen_Boss</t>
        </is>
      </c>
      <c r="B30" s="2" t="inlineStr">
        <is>
          <t>UR</t>
        </is>
      </c>
      <c r="C30" s="19" t="inlineStr">
        <is>
          <t>Tanker</t>
        </is>
      </c>
      <c r="D30" s="36" t="inlineStr">
        <is>
          <t>hp</t>
        </is>
      </c>
      <c r="E30" s="36" t="inlineStr">
        <is>
          <t>HP</t>
        </is>
      </c>
      <c r="F30" s="36" t="inlineStr">
        <is>
          <t>1.0</t>
        </is>
      </c>
    </row>
    <row r="31">
      <c r="A31" t="inlineStr">
        <is>
          <t>LiJing_Boss</t>
        </is>
      </c>
      <c r="B31" s="14" t="inlineStr">
        <is>
          <t>SSR</t>
        </is>
      </c>
      <c r="C31" s="19" t="inlineStr">
        <is>
          <t>Tanker</t>
        </is>
      </c>
      <c r="D31" s="36" t="inlineStr">
        <is>
          <t>hp</t>
        </is>
      </c>
      <c r="E31" s="36" t="inlineStr">
        <is>
          <t>HP</t>
        </is>
      </c>
      <c r="F31" s="36" t="inlineStr">
        <is>
          <t>1.0</t>
        </is>
      </c>
    </row>
    <row r="32">
      <c r="A32" t="inlineStr">
        <is>
          <t>ThirdDragonPrince</t>
        </is>
      </c>
      <c r="B32" s="2" t="inlineStr">
        <is>
          <t>UR</t>
        </is>
      </c>
      <c r="C32" s="18" t="inlineStr">
        <is>
          <t>Fighter</t>
        </is>
      </c>
      <c r="D32" s="36" t="inlineStr">
        <is>
          <t>hp</t>
        </is>
      </c>
      <c r="E32" s="36" t="inlineStr">
        <is>
          <t>HP</t>
        </is>
      </c>
      <c r="F32" s="36" t="inlineStr">
        <is>
          <t>1.0</t>
        </is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01"/>
  <sheetViews>
    <sheetView topLeftCell="A40" workbookViewId="0">
      <selection activeCell="K35" sqref="K35"/>
    </sheetView>
  </sheetViews>
  <sheetFormatPr baseColWidth="8" defaultRowHeight="15"/>
  <cols>
    <col width="9.28515625" customWidth="1" style="35" min="2" max="2"/>
    <col width="10.85546875" customWidth="1" style="35" min="3" max="3"/>
    <col width="12.7109375" customWidth="1" style="35" min="4" max="4"/>
    <col width="12.28515625" customWidth="1" style="35" min="5" max="5"/>
    <col width="13.140625" customWidth="1" style="35" min="6" max="6"/>
    <col width="14" bestFit="1" customWidth="1" style="35" min="7" max="7"/>
    <col width="14.85546875" customWidth="1" style="35" min="8" max="8"/>
    <col width="13.140625" customWidth="1" style="35" min="9" max="9"/>
    <col width="12.42578125" customWidth="1" style="35" min="10" max="10"/>
    <col width="15.28515625" customWidth="1" style="35" min="11" max="11"/>
  </cols>
  <sheetData>
    <row r="1">
      <c r="A1" s="16" t="inlineStr">
        <is>
          <t>Level</t>
        </is>
      </c>
      <c r="B1" s="16" t="inlineStr">
        <is>
          <t>Curve_R</t>
        </is>
      </c>
      <c r="C1" s="16" t="inlineStr">
        <is>
          <t>Curve_SR</t>
        </is>
      </c>
      <c r="D1" s="16" t="inlineStr">
        <is>
          <t>Curve_SSR</t>
        </is>
      </c>
      <c r="E1" s="16" t="inlineStr">
        <is>
          <t>Curve_UR</t>
        </is>
      </c>
      <c r="F1" s="16" t="inlineStr">
        <is>
          <t>Curve_R_up</t>
        </is>
      </c>
      <c r="G1" s="16" t="inlineStr">
        <is>
          <t>Curve_SR_up</t>
        </is>
      </c>
      <c r="H1" s="16" t="inlineStr">
        <is>
          <t>Curve_SSR_up</t>
        </is>
      </c>
      <c r="I1" s="16" t="inlineStr">
        <is>
          <t>Curve_UR_up</t>
        </is>
      </c>
    </row>
    <row r="2">
      <c r="A2" s="36" t="n">
        <v>1</v>
      </c>
      <c r="B2">
        <f>ROUND( $N$3*POWER(A2-1,$N$4), 0)</f>
        <v/>
      </c>
      <c r="C2">
        <f>ROUND($O$3*POWER(A2 -1,$O$4), 0)</f>
        <v/>
      </c>
      <c r="D2">
        <f>ROUND($P$3 * POWER(A2 - 1, $P$4), 0)</f>
        <v/>
      </c>
      <c r="E2">
        <f>ROUND($Q$3 * POWER(A2 - 1, $Q$4), 0)</f>
        <v/>
      </c>
      <c r="F2" t="n">
        <v>0</v>
      </c>
      <c r="G2" t="n">
        <v>0</v>
      </c>
      <c r="H2" t="n">
        <v>0</v>
      </c>
      <c r="I2" t="n">
        <v>0</v>
      </c>
      <c r="N2" s="16" t="inlineStr">
        <is>
          <t>Curve_R</t>
        </is>
      </c>
      <c r="O2" s="16" t="inlineStr">
        <is>
          <t>Curve_SR</t>
        </is>
      </c>
      <c r="P2" s="16" t="inlineStr">
        <is>
          <t>Curve_SSR</t>
        </is>
      </c>
      <c r="Q2" s="16" t="inlineStr">
        <is>
          <t>Curve_UR</t>
        </is>
      </c>
    </row>
    <row r="3">
      <c r="A3" s="37" t="n">
        <v>2</v>
      </c>
      <c r="B3">
        <f>ROUND( $N$3*POWER(A3-1,$N$4), 0)</f>
        <v/>
      </c>
      <c r="C3">
        <f>ROUND($O$3*POWER(A3 -1,$O$4), 0)</f>
        <v/>
      </c>
      <c r="D3">
        <f>ROUND($P$3 * POWER(A3 - 1, $P$4), 0)</f>
        <v/>
      </c>
      <c r="E3">
        <f>ROUND($Q$3 * POWER(A3 - 1, $Q$4), 0)</f>
        <v/>
      </c>
      <c r="F3">
        <f>B3-B2</f>
        <v/>
      </c>
      <c r="G3">
        <f>C3-C2</f>
        <v/>
      </c>
      <c r="H3">
        <f>D3-D2</f>
        <v/>
      </c>
      <c r="I3">
        <f>E3-E2</f>
        <v/>
      </c>
      <c r="M3" s="10" t="inlineStr">
        <is>
          <t>exp_base</t>
        </is>
      </c>
      <c r="N3" t="n">
        <v>100</v>
      </c>
      <c r="O3" t="n">
        <v>150</v>
      </c>
      <c r="P3" t="n">
        <v>200</v>
      </c>
      <c r="Q3" t="n">
        <v>250</v>
      </c>
    </row>
    <row r="4">
      <c r="A4" s="36" t="n">
        <v>3</v>
      </c>
      <c r="B4">
        <f>ROUND( $N$3*POWER(A4-1,$N$4), 0)</f>
        <v/>
      </c>
      <c r="C4">
        <f>ROUND($O$3*POWER(A4 -1,$O$4), 0)</f>
        <v/>
      </c>
      <c r="D4">
        <f>ROUND($P$3 * POWER(A4 - 1, $P$4), 0)</f>
        <v/>
      </c>
      <c r="E4">
        <f>ROUND($Q$3 * POWER(A4 - 1, $Q$4), 0)</f>
        <v/>
      </c>
      <c r="F4">
        <f>B4-B3</f>
        <v/>
      </c>
      <c r="G4">
        <f>C4-C3</f>
        <v/>
      </c>
      <c r="H4">
        <f>D4-D3</f>
        <v/>
      </c>
      <c r="I4">
        <f>E4-E3</f>
        <v/>
      </c>
      <c r="M4" s="10" t="inlineStr">
        <is>
          <t>exp_exponent</t>
        </is>
      </c>
      <c r="N4" t="n">
        <v>1.6</v>
      </c>
      <c r="O4" t="n">
        <v>1.7</v>
      </c>
      <c r="P4" t="n">
        <v>1.8</v>
      </c>
      <c r="Q4" t="n">
        <v>1.9</v>
      </c>
    </row>
    <row r="5">
      <c r="A5" s="37" t="n">
        <v>4</v>
      </c>
      <c r="B5">
        <f>ROUND( $N$3*POWER(A5-1,$N$4), 0)</f>
        <v/>
      </c>
      <c r="C5">
        <f>ROUND($O$3*POWER(A5 -1,$O$4), 0)</f>
        <v/>
      </c>
      <c r="D5">
        <f>ROUND($P$3 * POWER(A5 - 1, $P$4), 0)</f>
        <v/>
      </c>
      <c r="E5">
        <f>ROUND($Q$3 * POWER(A5 - 1, $Q$4), 0)</f>
        <v/>
      </c>
      <c r="F5">
        <f>B5-B4</f>
        <v/>
      </c>
      <c r="G5">
        <f>C5-C4</f>
        <v/>
      </c>
      <c r="H5">
        <f>D5-D4</f>
        <v/>
      </c>
      <c r="I5">
        <f>E5-E4</f>
        <v/>
      </c>
    </row>
    <row r="6">
      <c r="A6" s="36" t="n">
        <v>5</v>
      </c>
      <c r="B6">
        <f>ROUND( $N$3*POWER(A6-1,$N$4), 0)</f>
        <v/>
      </c>
      <c r="C6">
        <f>ROUND($O$3*POWER(A6 -1,$O$4), 0)</f>
        <v/>
      </c>
      <c r="D6">
        <f>ROUND($P$3 * POWER(A6 - 1, $P$4), 0)</f>
        <v/>
      </c>
      <c r="E6">
        <f>ROUND($Q$3 * POWER(A6 - 1, $Q$4), 0)</f>
        <v/>
      </c>
      <c r="F6">
        <f>B6-B5</f>
        <v/>
      </c>
      <c r="G6">
        <f>C6-C5</f>
        <v/>
      </c>
      <c r="H6">
        <f>D6-D5</f>
        <v/>
      </c>
      <c r="I6">
        <f>E6-E5</f>
        <v/>
      </c>
    </row>
    <row r="7">
      <c r="A7" s="37" t="n">
        <v>6</v>
      </c>
      <c r="B7">
        <f>ROUND( $N$3*POWER(A7-1,$N$4), 0)</f>
        <v/>
      </c>
      <c r="C7">
        <f>ROUND($O$3*POWER(A7 -1,$O$4), 0)</f>
        <v/>
      </c>
      <c r="D7">
        <f>ROUND($P$3 * POWER(A7 - 1, $P$4), 0)</f>
        <v/>
      </c>
      <c r="E7">
        <f>ROUND($Q$3 * POWER(A7 - 1, $Q$4), 0)</f>
        <v/>
      </c>
      <c r="F7">
        <f>B7-B6</f>
        <v/>
      </c>
      <c r="G7">
        <f>C7-C6</f>
        <v/>
      </c>
      <c r="H7">
        <f>D7-D6</f>
        <v/>
      </c>
      <c r="I7">
        <f>E7-E6</f>
        <v/>
      </c>
    </row>
    <row r="8">
      <c r="A8" s="36" t="n">
        <v>7</v>
      </c>
      <c r="B8">
        <f>ROUND( $N$3*POWER(A8-1,$N$4), 0)</f>
        <v/>
      </c>
      <c r="C8">
        <f>ROUND($O$3*POWER(A8 -1,$O$4), 0)</f>
        <v/>
      </c>
      <c r="D8">
        <f>ROUND($P$3 * POWER(A8 - 1, $P$4), 0)</f>
        <v/>
      </c>
      <c r="E8">
        <f>ROUND($Q$3 * POWER(A8 - 1, $Q$4), 0)</f>
        <v/>
      </c>
      <c r="F8">
        <f>B8-B7</f>
        <v/>
      </c>
      <c r="G8">
        <f>C8-C7</f>
        <v/>
      </c>
      <c r="H8">
        <f>D8-D7</f>
        <v/>
      </c>
      <c r="I8">
        <f>E8-E7</f>
        <v/>
      </c>
    </row>
    <row r="9">
      <c r="A9" s="37" t="n">
        <v>8</v>
      </c>
      <c r="B9">
        <f>ROUND( $N$3*POWER(A9-1,$N$4), 0)</f>
        <v/>
      </c>
      <c r="C9">
        <f>ROUND($O$3*POWER(A9 -1,$O$4), 0)</f>
        <v/>
      </c>
      <c r="D9">
        <f>ROUND($P$3 * POWER(A9 - 1, $P$4), 0)</f>
        <v/>
      </c>
      <c r="E9">
        <f>ROUND($Q$3 * POWER(A9 - 1, $Q$4), 0)</f>
        <v/>
      </c>
      <c r="F9">
        <f>B9-B8</f>
        <v/>
      </c>
      <c r="G9">
        <f>C9-C8</f>
        <v/>
      </c>
      <c r="H9">
        <f>D9-D8</f>
        <v/>
      </c>
      <c r="I9">
        <f>E9-E8</f>
        <v/>
      </c>
    </row>
    <row r="10">
      <c r="A10" s="36" t="n">
        <v>9</v>
      </c>
      <c r="B10">
        <f>ROUND( $N$3*POWER(A10-1,$N$4), 0)</f>
        <v/>
      </c>
      <c r="C10">
        <f>ROUND($O$3*POWER(A10 -1,$O$4), 0)</f>
        <v/>
      </c>
      <c r="D10">
        <f>ROUND($P$3 * POWER(A10 - 1, $P$4), 0)</f>
        <v/>
      </c>
      <c r="E10">
        <f>ROUND($Q$3 * POWER(A10 - 1, $Q$4), 0)</f>
        <v/>
      </c>
      <c r="F10">
        <f>B10-B9</f>
        <v/>
      </c>
      <c r="G10">
        <f>C10-C9</f>
        <v/>
      </c>
      <c r="H10">
        <f>D10-D9</f>
        <v/>
      </c>
      <c r="I10">
        <f>E10-E9</f>
        <v/>
      </c>
    </row>
    <row r="11">
      <c r="A11" s="37" t="n">
        <v>10</v>
      </c>
      <c r="B11">
        <f>ROUND( $N$3*POWER(A11-1,$N$4), 0)</f>
        <v/>
      </c>
      <c r="C11">
        <f>ROUND($O$3*POWER(A11 -1,$O$4), 0)</f>
        <v/>
      </c>
      <c r="D11">
        <f>ROUND($P$3 * POWER(A11 - 1, $P$4), 0)</f>
        <v/>
      </c>
      <c r="E11">
        <f>ROUND($Q$3 * POWER(A11 - 1, $Q$4), 0)</f>
        <v/>
      </c>
      <c r="F11">
        <f>B11-B10</f>
        <v/>
      </c>
      <c r="G11">
        <f>C11-C10</f>
        <v/>
      </c>
      <c r="H11">
        <f>D11-D10</f>
        <v/>
      </c>
      <c r="I11">
        <f>E11-E10</f>
        <v/>
      </c>
    </row>
    <row r="12">
      <c r="A12" s="36" t="n">
        <v>11</v>
      </c>
      <c r="B12">
        <f>ROUND( $N$3*POWER(A12-1,$N$4), 0)</f>
        <v/>
      </c>
      <c r="C12">
        <f>ROUND($O$3*POWER(A12 -1,$O$4), 0)</f>
        <v/>
      </c>
      <c r="D12">
        <f>ROUND($P$3 * POWER(A12 - 1, $P$4), 0)</f>
        <v/>
      </c>
      <c r="E12">
        <f>ROUND($Q$3 * POWER(A12 - 1, $Q$4), 0)</f>
        <v/>
      </c>
      <c r="F12">
        <f>B12-B11</f>
        <v/>
      </c>
      <c r="G12">
        <f>C12-C11</f>
        <v/>
      </c>
      <c r="H12">
        <f>D12-D11</f>
        <v/>
      </c>
      <c r="I12">
        <f>E12-E11</f>
        <v/>
      </c>
    </row>
    <row r="13">
      <c r="A13" s="37" t="n">
        <v>12</v>
      </c>
      <c r="B13">
        <f>ROUND( $N$3*POWER(A13-1,$N$4), 0)</f>
        <v/>
      </c>
      <c r="C13">
        <f>ROUND($O$3*POWER(A13 -1,$O$4), 0)</f>
        <v/>
      </c>
      <c r="D13">
        <f>ROUND($P$3 * POWER(A13 - 1, $P$4), 0)</f>
        <v/>
      </c>
      <c r="E13">
        <f>ROUND($Q$3 * POWER(A13 - 1, $Q$4), 0)</f>
        <v/>
      </c>
      <c r="F13">
        <f>B13-B12</f>
        <v/>
      </c>
      <c r="G13">
        <f>C13-C12</f>
        <v/>
      </c>
      <c r="H13">
        <f>D13-D12</f>
        <v/>
      </c>
      <c r="I13">
        <f>E13-E12</f>
        <v/>
      </c>
    </row>
    <row r="14">
      <c r="A14" s="36" t="n">
        <v>13</v>
      </c>
      <c r="B14">
        <f>ROUND( $N$3*POWER(A14-1,$N$4), 0)</f>
        <v/>
      </c>
      <c r="C14">
        <f>ROUND($O$3*POWER(A14 -1,$O$4), 0)</f>
        <v/>
      </c>
      <c r="D14">
        <f>ROUND($P$3 * POWER(A14 - 1, $P$4), 0)</f>
        <v/>
      </c>
      <c r="E14">
        <f>ROUND($Q$3 * POWER(A14 - 1, $Q$4), 0)</f>
        <v/>
      </c>
      <c r="F14">
        <f>B14-B13</f>
        <v/>
      </c>
      <c r="G14">
        <f>C14-C13</f>
        <v/>
      </c>
      <c r="H14">
        <f>D14-D13</f>
        <v/>
      </c>
      <c r="I14">
        <f>E14-E13</f>
        <v/>
      </c>
    </row>
    <row r="15">
      <c r="A15" s="37" t="n">
        <v>14</v>
      </c>
      <c r="B15">
        <f>ROUND( $N$3*POWER(A15-1,$N$4), 0)</f>
        <v/>
      </c>
      <c r="C15">
        <f>ROUND($O$3*POWER(A15 -1,$O$4), 0)</f>
        <v/>
      </c>
      <c r="D15">
        <f>ROUND($P$3 * POWER(A15 - 1, $P$4), 0)</f>
        <v/>
      </c>
      <c r="E15">
        <f>ROUND($Q$3 * POWER(A15 - 1, $Q$4), 0)</f>
        <v/>
      </c>
      <c r="F15">
        <f>B15-B14</f>
        <v/>
      </c>
      <c r="G15">
        <f>C15-C14</f>
        <v/>
      </c>
      <c r="H15">
        <f>D15-D14</f>
        <v/>
      </c>
      <c r="I15">
        <f>E15-E14</f>
        <v/>
      </c>
    </row>
    <row r="16">
      <c r="A16" s="36" t="n">
        <v>15</v>
      </c>
      <c r="B16">
        <f>ROUND( $N$3*POWER(A16-1,$N$4), 0)</f>
        <v/>
      </c>
      <c r="C16">
        <f>ROUND($O$3*POWER(A16 -1,$O$4), 0)</f>
        <v/>
      </c>
      <c r="D16">
        <f>ROUND($P$3 * POWER(A16 - 1, $P$4), 0)</f>
        <v/>
      </c>
      <c r="E16">
        <f>ROUND($Q$3 * POWER(A16 - 1, $Q$4), 0)</f>
        <v/>
      </c>
      <c r="F16">
        <f>B16-B15</f>
        <v/>
      </c>
      <c r="G16">
        <f>C16-C15</f>
        <v/>
      </c>
      <c r="H16">
        <f>D16-D15</f>
        <v/>
      </c>
      <c r="I16">
        <f>E16-E15</f>
        <v/>
      </c>
    </row>
    <row r="17">
      <c r="A17" s="37" t="n">
        <v>16</v>
      </c>
      <c r="B17">
        <f>ROUND( $N$3*POWER(A17-1,$N$4), 0)</f>
        <v/>
      </c>
      <c r="C17">
        <f>ROUND($O$3*POWER(A17 -1,$O$4), 0)</f>
        <v/>
      </c>
      <c r="D17">
        <f>ROUND($P$3 * POWER(A17 - 1, $P$4), 0)</f>
        <v/>
      </c>
      <c r="E17">
        <f>ROUND($Q$3 * POWER(A17 - 1, $Q$4), 0)</f>
        <v/>
      </c>
      <c r="F17">
        <f>B17-B16</f>
        <v/>
      </c>
      <c r="G17">
        <f>C17-C16</f>
        <v/>
      </c>
      <c r="H17">
        <f>D17-D16</f>
        <v/>
      </c>
      <c r="I17">
        <f>E17-E16</f>
        <v/>
      </c>
    </row>
    <row r="18">
      <c r="A18" s="36" t="n">
        <v>17</v>
      </c>
      <c r="B18">
        <f>ROUND( $N$3*POWER(A18-1,$N$4), 0)</f>
        <v/>
      </c>
      <c r="C18">
        <f>ROUND($O$3*POWER(A18 -1,$O$4), 0)</f>
        <v/>
      </c>
      <c r="D18">
        <f>ROUND($P$3 * POWER(A18 - 1, $P$4), 0)</f>
        <v/>
      </c>
      <c r="E18">
        <f>ROUND($Q$3 * POWER(A18 - 1, $Q$4), 0)</f>
        <v/>
      </c>
      <c r="F18">
        <f>B18-B17</f>
        <v/>
      </c>
      <c r="G18">
        <f>C18-C17</f>
        <v/>
      </c>
      <c r="H18">
        <f>D18-D17</f>
        <v/>
      </c>
      <c r="I18">
        <f>E18-E17</f>
        <v/>
      </c>
    </row>
    <row r="19">
      <c r="A19" s="37" t="n">
        <v>18</v>
      </c>
      <c r="B19">
        <f>ROUND( $N$3*POWER(A19-1,$N$4), 0)</f>
        <v/>
      </c>
      <c r="C19">
        <f>ROUND($O$3*POWER(A19 -1,$O$4), 0)</f>
        <v/>
      </c>
      <c r="D19">
        <f>ROUND($P$3 * POWER(A19 - 1, $P$4), 0)</f>
        <v/>
      </c>
      <c r="E19">
        <f>ROUND($Q$3 * POWER(A19 - 1, $Q$4), 0)</f>
        <v/>
      </c>
      <c r="F19">
        <f>B19-B18</f>
        <v/>
      </c>
      <c r="G19">
        <f>C19-C18</f>
        <v/>
      </c>
      <c r="H19">
        <f>D19-D18</f>
        <v/>
      </c>
      <c r="I19">
        <f>E19-E18</f>
        <v/>
      </c>
    </row>
    <row r="20">
      <c r="A20" s="36" t="n">
        <v>19</v>
      </c>
      <c r="B20">
        <f>ROUND( $N$3*POWER(A20-1,$N$4), 0)</f>
        <v/>
      </c>
      <c r="C20">
        <f>ROUND($O$3*POWER(A20 -1,$O$4), 0)</f>
        <v/>
      </c>
      <c r="D20">
        <f>ROUND($P$3 * POWER(A20 - 1, $P$4), 0)</f>
        <v/>
      </c>
      <c r="E20">
        <f>ROUND($Q$3 * POWER(A20 - 1, $Q$4), 0)</f>
        <v/>
      </c>
      <c r="F20">
        <f>B20-B19</f>
        <v/>
      </c>
      <c r="G20">
        <f>C20-C19</f>
        <v/>
      </c>
      <c r="H20">
        <f>D20-D19</f>
        <v/>
      </c>
      <c r="I20">
        <f>E20-E19</f>
        <v/>
      </c>
    </row>
    <row r="21">
      <c r="A21" s="37" t="n">
        <v>20</v>
      </c>
      <c r="B21">
        <f>ROUND( $N$3*POWER(A21-1,$N$4), 0)</f>
        <v/>
      </c>
      <c r="C21">
        <f>ROUND($O$3*POWER(A21 -1,$O$4), 0)</f>
        <v/>
      </c>
      <c r="D21">
        <f>ROUND($P$3 * POWER(A21 - 1, $P$4), 0)</f>
        <v/>
      </c>
      <c r="E21">
        <f>ROUND($Q$3 * POWER(A21 - 1, $Q$4), 0)</f>
        <v/>
      </c>
      <c r="F21">
        <f>B21-B20</f>
        <v/>
      </c>
      <c r="G21">
        <f>C21-C20</f>
        <v/>
      </c>
      <c r="H21">
        <f>D21-D20</f>
        <v/>
      </c>
      <c r="I21">
        <f>E21-E20</f>
        <v/>
      </c>
    </row>
    <row r="22">
      <c r="A22" s="36" t="n">
        <v>21</v>
      </c>
      <c r="B22">
        <f>ROUND( $N$3*POWER(A22-1,$N$4), 0)</f>
        <v/>
      </c>
      <c r="C22">
        <f>ROUND($O$3*POWER(A22 -1,$O$4), 0)</f>
        <v/>
      </c>
      <c r="D22">
        <f>ROUND($P$3 * POWER(A22 - 1, $P$4), 0)</f>
        <v/>
      </c>
      <c r="E22">
        <f>ROUND($Q$3 * POWER(A22 - 1, $Q$4), 0)</f>
        <v/>
      </c>
      <c r="F22">
        <f>B22-B21</f>
        <v/>
      </c>
      <c r="G22">
        <f>C22-C21</f>
        <v/>
      </c>
      <c r="H22">
        <f>D22-D21</f>
        <v/>
      </c>
      <c r="I22">
        <f>E22-E21</f>
        <v/>
      </c>
    </row>
    <row r="23">
      <c r="A23" s="37" t="n">
        <v>22</v>
      </c>
      <c r="B23">
        <f>ROUND( $N$3*POWER(A23-1,$N$4), 0)</f>
        <v/>
      </c>
      <c r="C23">
        <f>ROUND($O$3*POWER(A23 -1,$O$4), 0)</f>
        <v/>
      </c>
      <c r="D23">
        <f>ROUND($P$3 * POWER(A23 - 1, $P$4), 0)</f>
        <v/>
      </c>
      <c r="E23">
        <f>ROUND($Q$3 * POWER(A23 - 1, $Q$4), 0)</f>
        <v/>
      </c>
      <c r="F23">
        <f>B23-B22</f>
        <v/>
      </c>
      <c r="G23">
        <f>C23-C22</f>
        <v/>
      </c>
      <c r="H23">
        <f>D23-D22</f>
        <v/>
      </c>
      <c r="I23">
        <f>E23-E22</f>
        <v/>
      </c>
    </row>
    <row r="24">
      <c r="A24" s="36" t="n">
        <v>23</v>
      </c>
      <c r="B24">
        <f>ROUND( $N$3*POWER(A24-1,$N$4), 0)</f>
        <v/>
      </c>
      <c r="C24">
        <f>ROUND($O$3*POWER(A24 -1,$O$4), 0)</f>
        <v/>
      </c>
      <c r="D24">
        <f>ROUND($P$3 * POWER(A24 - 1, $P$4), 0)</f>
        <v/>
      </c>
      <c r="E24">
        <f>ROUND($Q$3 * POWER(A24 - 1, $Q$4), 0)</f>
        <v/>
      </c>
      <c r="F24">
        <f>B24-B23</f>
        <v/>
      </c>
      <c r="G24">
        <f>C24-C23</f>
        <v/>
      </c>
      <c r="H24">
        <f>D24-D23</f>
        <v/>
      </c>
      <c r="I24">
        <f>E24-E23</f>
        <v/>
      </c>
    </row>
    <row r="25">
      <c r="A25" s="37" t="n">
        <v>24</v>
      </c>
      <c r="B25">
        <f>ROUND( $N$3*POWER(A25-1,$N$4), 0)</f>
        <v/>
      </c>
      <c r="C25">
        <f>ROUND($O$3*POWER(A25 -1,$O$4), 0)</f>
        <v/>
      </c>
      <c r="D25">
        <f>ROUND($P$3 * POWER(A25 - 1, $P$4), 0)</f>
        <v/>
      </c>
      <c r="E25">
        <f>ROUND($Q$3 * POWER(A25 - 1, $Q$4), 0)</f>
        <v/>
      </c>
      <c r="F25">
        <f>B25-B24</f>
        <v/>
      </c>
      <c r="G25">
        <f>C25-C24</f>
        <v/>
      </c>
      <c r="H25">
        <f>D25-D24</f>
        <v/>
      </c>
      <c r="I25">
        <f>E25-E24</f>
        <v/>
      </c>
    </row>
    <row r="26">
      <c r="A26" s="36" t="n">
        <v>25</v>
      </c>
      <c r="B26">
        <f>ROUND( $N$3*POWER(A26-1,$N$4), 0)</f>
        <v/>
      </c>
      <c r="C26">
        <f>ROUND($O$3*POWER(A26 -1,$O$4), 0)</f>
        <v/>
      </c>
      <c r="D26">
        <f>ROUND($P$3 * POWER(A26 - 1, $P$4), 0)</f>
        <v/>
      </c>
      <c r="E26">
        <f>ROUND($Q$3 * POWER(A26 - 1, $Q$4), 0)</f>
        <v/>
      </c>
      <c r="F26">
        <f>B26-B25</f>
        <v/>
      </c>
      <c r="G26">
        <f>C26-C25</f>
        <v/>
      </c>
      <c r="H26">
        <f>D26-D25</f>
        <v/>
      </c>
      <c r="I26">
        <f>E26-E25</f>
        <v/>
      </c>
    </row>
    <row r="27">
      <c r="A27" s="37" t="n">
        <v>26</v>
      </c>
      <c r="B27">
        <f>ROUND( $N$3*POWER(A27-1,$N$4), 0)</f>
        <v/>
      </c>
      <c r="C27">
        <f>ROUND($O$3*POWER(A27 -1,$O$4), 0)</f>
        <v/>
      </c>
      <c r="D27">
        <f>ROUND($P$3 * POWER(A27 - 1, $P$4), 0)</f>
        <v/>
      </c>
      <c r="E27">
        <f>ROUND($Q$3 * POWER(A27 - 1, $Q$4), 0)</f>
        <v/>
      </c>
      <c r="F27">
        <f>B27-B26</f>
        <v/>
      </c>
      <c r="G27">
        <f>C27-C26</f>
        <v/>
      </c>
      <c r="H27">
        <f>D27-D26</f>
        <v/>
      </c>
      <c r="I27">
        <f>E27-E26</f>
        <v/>
      </c>
    </row>
    <row r="28">
      <c r="A28" s="36" t="n">
        <v>27</v>
      </c>
      <c r="B28">
        <f>ROUND( $N$3*POWER(A28-1,$N$4), 0)</f>
        <v/>
      </c>
      <c r="C28">
        <f>ROUND($O$3*POWER(A28 -1,$O$4), 0)</f>
        <v/>
      </c>
      <c r="D28">
        <f>ROUND($P$3 * POWER(A28 - 1, $P$4), 0)</f>
        <v/>
      </c>
      <c r="E28">
        <f>ROUND($Q$3 * POWER(A28 - 1, $Q$4), 0)</f>
        <v/>
      </c>
      <c r="F28">
        <f>B28-B27</f>
        <v/>
      </c>
      <c r="G28">
        <f>C28-C27</f>
        <v/>
      </c>
      <c r="H28">
        <f>D28-D27</f>
        <v/>
      </c>
      <c r="I28">
        <f>E28-E27</f>
        <v/>
      </c>
    </row>
    <row r="29">
      <c r="A29" s="37" t="n">
        <v>28</v>
      </c>
      <c r="B29">
        <f>ROUND( $N$3*POWER(A29-1,$N$4), 0)</f>
        <v/>
      </c>
      <c r="C29">
        <f>ROUND($O$3*POWER(A29 -1,$O$4), 0)</f>
        <v/>
      </c>
      <c r="D29">
        <f>ROUND($P$3 * POWER(A29 - 1, $P$4), 0)</f>
        <v/>
      </c>
      <c r="E29">
        <f>ROUND($Q$3 * POWER(A29 - 1, $Q$4), 0)</f>
        <v/>
      </c>
      <c r="F29">
        <f>B29-B28</f>
        <v/>
      </c>
      <c r="G29">
        <f>C29-C28</f>
        <v/>
      </c>
      <c r="H29">
        <f>D29-D28</f>
        <v/>
      </c>
      <c r="I29">
        <f>E29-E28</f>
        <v/>
      </c>
    </row>
    <row r="30">
      <c r="A30" s="36" t="n">
        <v>29</v>
      </c>
      <c r="B30">
        <f>ROUND( $N$3*POWER(A30-1,$N$4), 0)</f>
        <v/>
      </c>
      <c r="C30">
        <f>ROUND($O$3*POWER(A30 -1,$O$4), 0)</f>
        <v/>
      </c>
      <c r="D30">
        <f>ROUND($P$3 * POWER(A30 - 1, $P$4), 0)</f>
        <v/>
      </c>
      <c r="E30">
        <f>ROUND($Q$3 * POWER(A30 - 1, $Q$4), 0)</f>
        <v/>
      </c>
      <c r="F30">
        <f>B30-B29</f>
        <v/>
      </c>
      <c r="G30">
        <f>C30-C29</f>
        <v/>
      </c>
      <c r="H30">
        <f>D30-D29</f>
        <v/>
      </c>
      <c r="I30">
        <f>E30-E29</f>
        <v/>
      </c>
    </row>
    <row r="31">
      <c r="A31" s="37" t="n">
        <v>30</v>
      </c>
      <c r="B31">
        <f>ROUND( $N$3*POWER(A31-1,$N$4), 0)</f>
        <v/>
      </c>
      <c r="C31">
        <f>ROUND($O$3*POWER(A31 -1,$O$4), 0)</f>
        <v/>
      </c>
      <c r="D31">
        <f>ROUND($P$3 * POWER(A31 - 1, $P$4), 0)</f>
        <v/>
      </c>
      <c r="E31">
        <f>ROUND($Q$3 * POWER(A31 - 1, $Q$4), 0)</f>
        <v/>
      </c>
      <c r="F31">
        <f>B31-B30</f>
        <v/>
      </c>
      <c r="G31">
        <f>C31-C30</f>
        <v/>
      </c>
      <c r="H31">
        <f>D31-D30</f>
        <v/>
      </c>
      <c r="I31">
        <f>E31-E30</f>
        <v/>
      </c>
    </row>
    <row r="32">
      <c r="A32" s="36" t="n">
        <v>31</v>
      </c>
      <c r="B32">
        <f>ROUND( $N$3*POWER(A32-1,$N$4), 0)</f>
        <v/>
      </c>
      <c r="C32">
        <f>ROUND($O$3*POWER(A32 -1,$O$4), 0)</f>
        <v/>
      </c>
      <c r="D32">
        <f>ROUND($P$3 * POWER(A32 - 1, $P$4), 0)</f>
        <v/>
      </c>
      <c r="E32">
        <f>ROUND($Q$3 * POWER(A32 - 1, $Q$4), 0)</f>
        <v/>
      </c>
      <c r="F32">
        <f>B32-B31</f>
        <v/>
      </c>
      <c r="G32">
        <f>C32-C31</f>
        <v/>
      </c>
      <c r="H32">
        <f>D32-D31</f>
        <v/>
      </c>
      <c r="I32">
        <f>E32-E31</f>
        <v/>
      </c>
    </row>
    <row r="33">
      <c r="A33" s="37" t="n">
        <v>32</v>
      </c>
      <c r="B33">
        <f>ROUND( $N$3*POWER(A33-1,$N$4), 0)</f>
        <v/>
      </c>
      <c r="C33">
        <f>ROUND($O$3*POWER(A33 -1,$O$4), 0)</f>
        <v/>
      </c>
      <c r="D33">
        <f>ROUND($P$3 * POWER(A33 - 1, $P$4), 0)</f>
        <v/>
      </c>
      <c r="E33">
        <f>ROUND($Q$3 * POWER(A33 - 1, $Q$4), 0)</f>
        <v/>
      </c>
      <c r="F33">
        <f>B33-B32</f>
        <v/>
      </c>
      <c r="G33">
        <f>C33-C32</f>
        <v/>
      </c>
      <c r="H33">
        <f>D33-D32</f>
        <v/>
      </c>
      <c r="I33">
        <f>E33-E32</f>
        <v/>
      </c>
    </row>
    <row r="34">
      <c r="A34" s="36" t="n">
        <v>33</v>
      </c>
      <c r="B34">
        <f>ROUND( $N$3*POWER(A34-1,$N$4), 0)</f>
        <v/>
      </c>
      <c r="C34">
        <f>ROUND($O$3*POWER(A34 -1,$O$4), 0)</f>
        <v/>
      </c>
      <c r="D34">
        <f>ROUND($P$3 * POWER(A34 - 1, $P$4), 0)</f>
        <v/>
      </c>
      <c r="E34">
        <f>ROUND($Q$3 * POWER(A34 - 1, $Q$4), 0)</f>
        <v/>
      </c>
      <c r="F34">
        <f>B34-B33</f>
        <v/>
      </c>
      <c r="G34">
        <f>C34-C33</f>
        <v/>
      </c>
      <c r="H34">
        <f>D34-D33</f>
        <v/>
      </c>
      <c r="I34">
        <f>E34-E33</f>
        <v/>
      </c>
    </row>
    <row r="35">
      <c r="A35" s="37" t="n">
        <v>34</v>
      </c>
      <c r="B35">
        <f>ROUND( $N$3*POWER(A35-1,$N$4), 0)</f>
        <v/>
      </c>
      <c r="C35">
        <f>ROUND($O$3*POWER(A35 -1,$O$4), 0)</f>
        <v/>
      </c>
      <c r="D35">
        <f>ROUND($P$3 * POWER(A35 - 1, $P$4), 0)</f>
        <v/>
      </c>
      <c r="E35">
        <f>ROUND($Q$3 * POWER(A35 - 1, $Q$4), 0)</f>
        <v/>
      </c>
      <c r="F35">
        <f>B35-B34</f>
        <v/>
      </c>
      <c r="G35">
        <f>C35-C34</f>
        <v/>
      </c>
      <c r="H35">
        <f>D35-D34</f>
        <v/>
      </c>
      <c r="I35">
        <f>E35-E34</f>
        <v/>
      </c>
    </row>
    <row r="36">
      <c r="A36" s="36" t="n">
        <v>35</v>
      </c>
      <c r="B36">
        <f>ROUND( $N$3*POWER(A36-1,$N$4), 0)</f>
        <v/>
      </c>
      <c r="C36">
        <f>ROUND($O$3*POWER(A36 -1,$O$4), 0)</f>
        <v/>
      </c>
      <c r="D36">
        <f>ROUND($P$3 * POWER(A36 - 1, $P$4), 0)</f>
        <v/>
      </c>
      <c r="E36">
        <f>ROUND($Q$3 * POWER(A36 - 1, $Q$4), 0)</f>
        <v/>
      </c>
      <c r="F36">
        <f>B36-B35</f>
        <v/>
      </c>
      <c r="G36">
        <f>C36-C35</f>
        <v/>
      </c>
      <c r="H36">
        <f>D36-D35</f>
        <v/>
      </c>
      <c r="I36">
        <f>E36-E35</f>
        <v/>
      </c>
    </row>
    <row r="37">
      <c r="A37" s="37" t="n">
        <v>36</v>
      </c>
      <c r="B37">
        <f>ROUND( $N$3*POWER(A37-1,$N$4), 0)</f>
        <v/>
      </c>
      <c r="C37">
        <f>ROUND($O$3*POWER(A37 -1,$O$4), 0)</f>
        <v/>
      </c>
      <c r="D37">
        <f>ROUND($P$3 * POWER(A37 - 1, $P$4), 0)</f>
        <v/>
      </c>
      <c r="E37">
        <f>ROUND($Q$3 * POWER(A37 - 1, $Q$4), 0)</f>
        <v/>
      </c>
      <c r="F37">
        <f>B37-B36</f>
        <v/>
      </c>
      <c r="G37">
        <f>C37-C36</f>
        <v/>
      </c>
      <c r="H37">
        <f>D37-D36</f>
        <v/>
      </c>
      <c r="I37">
        <f>E37-E36</f>
        <v/>
      </c>
    </row>
    <row r="38">
      <c r="A38" s="36" t="n">
        <v>37</v>
      </c>
      <c r="B38">
        <f>ROUND( $N$3*POWER(A38-1,$N$4), 0)</f>
        <v/>
      </c>
      <c r="C38">
        <f>ROUND($O$3*POWER(A38 -1,$O$4), 0)</f>
        <v/>
      </c>
      <c r="D38">
        <f>ROUND($P$3 * POWER(A38 - 1, $P$4), 0)</f>
        <v/>
      </c>
      <c r="E38">
        <f>ROUND($Q$3 * POWER(A38 - 1, $Q$4), 0)</f>
        <v/>
      </c>
      <c r="F38">
        <f>B38-B37</f>
        <v/>
      </c>
      <c r="G38">
        <f>C38-C37</f>
        <v/>
      </c>
      <c r="H38">
        <f>D38-D37</f>
        <v/>
      </c>
      <c r="I38">
        <f>E38-E37</f>
        <v/>
      </c>
    </row>
    <row r="39">
      <c r="A39" s="37" t="n">
        <v>38</v>
      </c>
      <c r="B39">
        <f>ROUND( $N$3*POWER(A39-1,$N$4), 0)</f>
        <v/>
      </c>
      <c r="C39">
        <f>ROUND($O$3*POWER(A39 -1,$O$4), 0)</f>
        <v/>
      </c>
      <c r="D39">
        <f>ROUND($P$3 * POWER(A39 - 1, $P$4), 0)</f>
        <v/>
      </c>
      <c r="E39">
        <f>ROUND($Q$3 * POWER(A39 - 1, $Q$4), 0)</f>
        <v/>
      </c>
      <c r="F39">
        <f>B39-B38</f>
        <v/>
      </c>
      <c r="G39">
        <f>C39-C38</f>
        <v/>
      </c>
      <c r="H39">
        <f>D39-D38</f>
        <v/>
      </c>
      <c r="I39">
        <f>E39-E38</f>
        <v/>
      </c>
    </row>
    <row r="40">
      <c r="A40" s="36" t="n">
        <v>39</v>
      </c>
      <c r="B40">
        <f>ROUND( $N$3*POWER(A40-1,$N$4), 0)</f>
        <v/>
      </c>
      <c r="C40">
        <f>ROUND($O$3*POWER(A40 -1,$O$4), 0)</f>
        <v/>
      </c>
      <c r="D40">
        <f>ROUND($P$3 * POWER(A40 - 1, $P$4), 0)</f>
        <v/>
      </c>
      <c r="E40">
        <f>ROUND($Q$3 * POWER(A40 - 1, $Q$4), 0)</f>
        <v/>
      </c>
      <c r="F40">
        <f>B40-B39</f>
        <v/>
      </c>
      <c r="G40">
        <f>C40-C39</f>
        <v/>
      </c>
      <c r="H40">
        <f>D40-D39</f>
        <v/>
      </c>
      <c r="I40">
        <f>E40-E39</f>
        <v/>
      </c>
    </row>
    <row r="41">
      <c r="A41" s="37" t="n">
        <v>40</v>
      </c>
      <c r="B41">
        <f>ROUND( $N$3*POWER(A41-1,$N$4), 0)</f>
        <v/>
      </c>
      <c r="C41">
        <f>ROUND($O$3*POWER(A41 -1,$O$4), 0)</f>
        <v/>
      </c>
      <c r="D41">
        <f>ROUND($P$3 * POWER(A41 - 1, $P$4), 0)</f>
        <v/>
      </c>
      <c r="E41">
        <f>ROUND($Q$3 * POWER(A41 - 1, $Q$4), 0)</f>
        <v/>
      </c>
      <c r="F41">
        <f>B41-B40</f>
        <v/>
      </c>
      <c r="G41">
        <f>C41-C40</f>
        <v/>
      </c>
      <c r="H41">
        <f>D41-D40</f>
        <v/>
      </c>
      <c r="I41">
        <f>E41-E40</f>
        <v/>
      </c>
    </row>
    <row r="42">
      <c r="A42" s="36" t="n">
        <v>41</v>
      </c>
      <c r="B42">
        <f>ROUND( $N$3*POWER(A42-1,$N$4), 0)</f>
        <v/>
      </c>
      <c r="C42">
        <f>ROUND($O$3*POWER(A42 -1,$O$4), 0)</f>
        <v/>
      </c>
      <c r="D42">
        <f>ROUND($P$3 * POWER(A42 - 1, $P$4), 0)</f>
        <v/>
      </c>
      <c r="E42">
        <f>ROUND($Q$3 * POWER(A42 - 1, $Q$4), 0)</f>
        <v/>
      </c>
      <c r="F42">
        <f>B42-B41</f>
        <v/>
      </c>
      <c r="G42">
        <f>C42-C41</f>
        <v/>
      </c>
      <c r="H42">
        <f>D42-D41</f>
        <v/>
      </c>
      <c r="I42">
        <f>E42-E41</f>
        <v/>
      </c>
    </row>
    <row r="43">
      <c r="A43" s="37" t="n">
        <v>42</v>
      </c>
      <c r="B43">
        <f>ROUND( $N$3*POWER(A43-1,$N$4), 0)</f>
        <v/>
      </c>
      <c r="C43">
        <f>ROUND($O$3*POWER(A43 -1,$O$4), 0)</f>
        <v/>
      </c>
      <c r="D43">
        <f>ROUND($P$3 * POWER(A43 - 1, $P$4), 0)</f>
        <v/>
      </c>
      <c r="E43">
        <f>ROUND($Q$3 * POWER(A43 - 1, $Q$4), 0)</f>
        <v/>
      </c>
      <c r="F43">
        <f>B43-B42</f>
        <v/>
      </c>
      <c r="G43">
        <f>C43-C42</f>
        <v/>
      </c>
      <c r="H43">
        <f>D43-D42</f>
        <v/>
      </c>
      <c r="I43">
        <f>E43-E42</f>
        <v/>
      </c>
    </row>
    <row r="44">
      <c r="A44" s="36" t="n">
        <v>43</v>
      </c>
      <c r="B44">
        <f>ROUND( $N$3*POWER(A44-1,$N$4), 0)</f>
        <v/>
      </c>
      <c r="C44">
        <f>ROUND($O$3*POWER(A44 -1,$O$4), 0)</f>
        <v/>
      </c>
      <c r="D44">
        <f>ROUND($P$3 * POWER(A44 - 1, $P$4), 0)</f>
        <v/>
      </c>
      <c r="E44">
        <f>ROUND($Q$3 * POWER(A44 - 1, $Q$4), 0)</f>
        <v/>
      </c>
      <c r="F44">
        <f>B44-B43</f>
        <v/>
      </c>
      <c r="G44">
        <f>C44-C43</f>
        <v/>
      </c>
      <c r="H44">
        <f>D44-D43</f>
        <v/>
      </c>
      <c r="I44">
        <f>E44-E43</f>
        <v/>
      </c>
    </row>
    <row r="45">
      <c r="A45" s="37" t="n">
        <v>44</v>
      </c>
      <c r="B45">
        <f>ROUND( $N$3*POWER(A45-1,$N$4), 0)</f>
        <v/>
      </c>
      <c r="C45">
        <f>ROUND($O$3*POWER(A45 -1,$O$4), 0)</f>
        <v/>
      </c>
      <c r="D45">
        <f>ROUND($P$3 * POWER(A45 - 1, $P$4), 0)</f>
        <v/>
      </c>
      <c r="E45">
        <f>ROUND($Q$3 * POWER(A45 - 1, $Q$4), 0)</f>
        <v/>
      </c>
      <c r="F45">
        <f>B45-B44</f>
        <v/>
      </c>
      <c r="G45">
        <f>C45-C44</f>
        <v/>
      </c>
      <c r="H45">
        <f>D45-D44</f>
        <v/>
      </c>
      <c r="I45">
        <f>E45-E44</f>
        <v/>
      </c>
    </row>
    <row r="46">
      <c r="A46" s="36" t="n">
        <v>45</v>
      </c>
      <c r="B46">
        <f>ROUND( $N$3*POWER(A46-1,$N$4), 0)</f>
        <v/>
      </c>
      <c r="C46">
        <f>ROUND($O$3*POWER(A46 -1,$O$4), 0)</f>
        <v/>
      </c>
      <c r="D46">
        <f>ROUND($P$3 * POWER(A46 - 1, $P$4), 0)</f>
        <v/>
      </c>
      <c r="E46">
        <f>ROUND($Q$3 * POWER(A46 - 1, $Q$4), 0)</f>
        <v/>
      </c>
      <c r="F46">
        <f>B46-B45</f>
        <v/>
      </c>
      <c r="G46">
        <f>C46-C45</f>
        <v/>
      </c>
      <c r="H46">
        <f>D46-D45</f>
        <v/>
      </c>
      <c r="I46">
        <f>E46-E45</f>
        <v/>
      </c>
    </row>
    <row r="47">
      <c r="A47" s="37" t="n">
        <v>46</v>
      </c>
      <c r="B47">
        <f>ROUND( $N$3*POWER(A47-1,$N$4), 0)</f>
        <v/>
      </c>
      <c r="C47">
        <f>ROUND($O$3*POWER(A47 -1,$O$4), 0)</f>
        <v/>
      </c>
      <c r="D47">
        <f>ROUND($P$3 * POWER(A47 - 1, $P$4), 0)</f>
        <v/>
      </c>
      <c r="E47">
        <f>ROUND($Q$3 * POWER(A47 - 1, $Q$4), 0)</f>
        <v/>
      </c>
      <c r="F47">
        <f>B47-B46</f>
        <v/>
      </c>
      <c r="G47">
        <f>C47-C46</f>
        <v/>
      </c>
      <c r="H47">
        <f>D47-D46</f>
        <v/>
      </c>
      <c r="I47">
        <f>E47-E46</f>
        <v/>
      </c>
    </row>
    <row r="48">
      <c r="A48" s="36" t="n">
        <v>47</v>
      </c>
      <c r="B48">
        <f>ROUND( $N$3*POWER(A48-1,$N$4), 0)</f>
        <v/>
      </c>
      <c r="C48">
        <f>ROUND($O$3*POWER(A48 -1,$O$4), 0)</f>
        <v/>
      </c>
      <c r="D48">
        <f>ROUND($P$3 * POWER(A48 - 1, $P$4), 0)</f>
        <v/>
      </c>
      <c r="E48">
        <f>ROUND($Q$3 * POWER(A48 - 1, $Q$4), 0)</f>
        <v/>
      </c>
      <c r="F48">
        <f>B48-B47</f>
        <v/>
      </c>
      <c r="G48">
        <f>C48-C47</f>
        <v/>
      </c>
      <c r="H48">
        <f>D48-D47</f>
        <v/>
      </c>
      <c r="I48">
        <f>E48-E47</f>
        <v/>
      </c>
    </row>
    <row r="49">
      <c r="A49" s="37" t="n">
        <v>48</v>
      </c>
      <c r="B49">
        <f>ROUND( $N$3*POWER(A49-1,$N$4), 0)</f>
        <v/>
      </c>
      <c r="C49">
        <f>ROUND($O$3*POWER(A49 -1,$O$4), 0)</f>
        <v/>
      </c>
      <c r="D49">
        <f>ROUND($P$3 * POWER(A49 - 1, $P$4), 0)</f>
        <v/>
      </c>
      <c r="E49">
        <f>ROUND($Q$3 * POWER(A49 - 1, $Q$4), 0)</f>
        <v/>
      </c>
      <c r="F49">
        <f>B49-B48</f>
        <v/>
      </c>
      <c r="G49">
        <f>C49-C48</f>
        <v/>
      </c>
      <c r="H49">
        <f>D49-D48</f>
        <v/>
      </c>
      <c r="I49">
        <f>E49-E48</f>
        <v/>
      </c>
    </row>
    <row r="50">
      <c r="A50" s="36" t="n">
        <v>49</v>
      </c>
      <c r="B50">
        <f>ROUND( $N$3*POWER(A50-1,$N$4), 0)</f>
        <v/>
      </c>
      <c r="C50">
        <f>ROUND($O$3*POWER(A50 -1,$O$4), 0)</f>
        <v/>
      </c>
      <c r="D50">
        <f>ROUND($P$3 * POWER(A50 - 1, $P$4), 0)</f>
        <v/>
      </c>
      <c r="E50">
        <f>ROUND($Q$3 * POWER(A50 - 1, $Q$4), 0)</f>
        <v/>
      </c>
      <c r="F50">
        <f>B50-B49</f>
        <v/>
      </c>
      <c r="G50">
        <f>C50-C49</f>
        <v/>
      </c>
      <c r="H50">
        <f>D50-D49</f>
        <v/>
      </c>
      <c r="I50">
        <f>E50-E49</f>
        <v/>
      </c>
    </row>
    <row r="51">
      <c r="A51" s="37" t="n">
        <v>50</v>
      </c>
      <c r="B51">
        <f>ROUND( $N$3*POWER(A51-1,$N$4), 0)</f>
        <v/>
      </c>
      <c r="C51">
        <f>ROUND($O$3*POWER(A51 -1,$O$4), 0)</f>
        <v/>
      </c>
      <c r="D51">
        <f>ROUND($P$3 * POWER(A51 - 1, $P$4), 0)</f>
        <v/>
      </c>
      <c r="E51">
        <f>ROUND($Q$3 * POWER(A51 - 1, $Q$4), 0)</f>
        <v/>
      </c>
      <c r="F51">
        <f>B51-B50</f>
        <v/>
      </c>
      <c r="G51">
        <f>C51-C50</f>
        <v/>
      </c>
      <c r="H51">
        <f>D51-D50</f>
        <v/>
      </c>
      <c r="I51">
        <f>E51-E50</f>
        <v/>
      </c>
    </row>
    <row r="52">
      <c r="A52" s="36" t="n">
        <v>51</v>
      </c>
      <c r="B52">
        <f>ROUND( $N$3*POWER(A52-1,$N$4), 0)</f>
        <v/>
      </c>
      <c r="C52">
        <f>ROUND($O$3*POWER(A52 -1,$O$4), 0)</f>
        <v/>
      </c>
      <c r="D52">
        <f>ROUND($P$3 * POWER(A52 - 1, $P$4), 0)</f>
        <v/>
      </c>
      <c r="E52">
        <f>ROUND($Q$3 * POWER(A52 - 1, $Q$4), 0)</f>
        <v/>
      </c>
      <c r="F52">
        <f>B52-B51</f>
        <v/>
      </c>
      <c r="G52">
        <f>C52-C51</f>
        <v/>
      </c>
      <c r="H52">
        <f>D52-D51</f>
        <v/>
      </c>
      <c r="I52">
        <f>E52-E51</f>
        <v/>
      </c>
    </row>
    <row r="53">
      <c r="A53" s="37" t="n">
        <v>52</v>
      </c>
      <c r="B53">
        <f>ROUND( $N$3*POWER(A53-1,$N$4), 0)</f>
        <v/>
      </c>
      <c r="C53">
        <f>ROUND($O$3*POWER(A53 -1,$O$4), 0)</f>
        <v/>
      </c>
      <c r="D53">
        <f>ROUND($P$3 * POWER(A53 - 1, $P$4), 0)</f>
        <v/>
      </c>
      <c r="E53">
        <f>ROUND($Q$3 * POWER(A53 - 1, $Q$4), 0)</f>
        <v/>
      </c>
      <c r="F53">
        <f>B53-B52</f>
        <v/>
      </c>
      <c r="G53">
        <f>C53-C52</f>
        <v/>
      </c>
      <c r="H53">
        <f>D53-D52</f>
        <v/>
      </c>
      <c r="I53">
        <f>E53-E52</f>
        <v/>
      </c>
    </row>
    <row r="54">
      <c r="A54" s="36" t="n">
        <v>53</v>
      </c>
      <c r="B54">
        <f>ROUND( $N$3*POWER(A54-1,$N$4), 0)</f>
        <v/>
      </c>
      <c r="C54">
        <f>ROUND($O$3*POWER(A54 -1,$O$4), 0)</f>
        <v/>
      </c>
      <c r="D54">
        <f>ROUND($P$3 * POWER(A54 - 1, $P$4), 0)</f>
        <v/>
      </c>
      <c r="E54">
        <f>ROUND($Q$3 * POWER(A54 - 1, $Q$4), 0)</f>
        <v/>
      </c>
      <c r="F54">
        <f>B54-B53</f>
        <v/>
      </c>
      <c r="G54">
        <f>C54-C53</f>
        <v/>
      </c>
      <c r="H54">
        <f>D54-D53</f>
        <v/>
      </c>
      <c r="I54">
        <f>E54-E53</f>
        <v/>
      </c>
    </row>
    <row r="55">
      <c r="A55" s="37" t="n">
        <v>54</v>
      </c>
      <c r="B55">
        <f>ROUND( $N$3*POWER(A55-1,$N$4), 0)</f>
        <v/>
      </c>
      <c r="C55">
        <f>ROUND($O$3*POWER(A55 -1,$O$4), 0)</f>
        <v/>
      </c>
      <c r="D55">
        <f>ROUND($P$3 * POWER(A55 - 1, $P$4), 0)</f>
        <v/>
      </c>
      <c r="E55">
        <f>ROUND($Q$3 * POWER(A55 - 1, $Q$4), 0)</f>
        <v/>
      </c>
      <c r="F55">
        <f>B55-B54</f>
        <v/>
      </c>
      <c r="G55">
        <f>C55-C54</f>
        <v/>
      </c>
      <c r="H55">
        <f>D55-D54</f>
        <v/>
      </c>
      <c r="I55">
        <f>E55-E54</f>
        <v/>
      </c>
    </row>
    <row r="56">
      <c r="A56" s="36" t="n">
        <v>55</v>
      </c>
      <c r="B56">
        <f>ROUND( $N$3*POWER(A56-1,$N$4), 0)</f>
        <v/>
      </c>
      <c r="C56">
        <f>ROUND($O$3*POWER(A56 -1,$O$4), 0)</f>
        <v/>
      </c>
      <c r="D56">
        <f>ROUND($P$3 * POWER(A56 - 1, $P$4), 0)</f>
        <v/>
      </c>
      <c r="E56">
        <f>ROUND($Q$3 * POWER(A56 - 1, $Q$4), 0)</f>
        <v/>
      </c>
      <c r="F56">
        <f>B56-B55</f>
        <v/>
      </c>
      <c r="G56">
        <f>C56-C55</f>
        <v/>
      </c>
      <c r="H56">
        <f>D56-D55</f>
        <v/>
      </c>
      <c r="I56">
        <f>E56-E55</f>
        <v/>
      </c>
    </row>
    <row r="57">
      <c r="A57" s="37" t="n">
        <v>56</v>
      </c>
      <c r="B57">
        <f>ROUND( $N$3*POWER(A57-1,$N$4), 0)</f>
        <v/>
      </c>
      <c r="C57">
        <f>ROUND($O$3*POWER(A57 -1,$O$4), 0)</f>
        <v/>
      </c>
      <c r="D57">
        <f>ROUND($P$3 * POWER(A57 - 1, $P$4), 0)</f>
        <v/>
      </c>
      <c r="E57">
        <f>ROUND($Q$3 * POWER(A57 - 1, $Q$4), 0)</f>
        <v/>
      </c>
      <c r="F57">
        <f>B57-B56</f>
        <v/>
      </c>
      <c r="G57">
        <f>C57-C56</f>
        <v/>
      </c>
      <c r="H57">
        <f>D57-D56</f>
        <v/>
      </c>
      <c r="I57">
        <f>E57-E56</f>
        <v/>
      </c>
    </row>
    <row r="58">
      <c r="A58" s="36" t="n">
        <v>57</v>
      </c>
      <c r="B58">
        <f>ROUND( $N$3*POWER(A58-1,$N$4), 0)</f>
        <v/>
      </c>
      <c r="C58">
        <f>ROUND($O$3*POWER(A58 -1,$O$4), 0)</f>
        <v/>
      </c>
      <c r="D58">
        <f>ROUND($P$3 * POWER(A58 - 1, $P$4), 0)</f>
        <v/>
      </c>
      <c r="E58">
        <f>ROUND($Q$3 * POWER(A58 - 1, $Q$4), 0)</f>
        <v/>
      </c>
      <c r="F58">
        <f>B58-B57</f>
        <v/>
      </c>
      <c r="G58">
        <f>C58-C57</f>
        <v/>
      </c>
      <c r="H58">
        <f>D58-D57</f>
        <v/>
      </c>
      <c r="I58">
        <f>E58-E57</f>
        <v/>
      </c>
    </row>
    <row r="59">
      <c r="A59" s="37" t="n">
        <v>58</v>
      </c>
      <c r="B59">
        <f>ROUND( $N$3*POWER(A59-1,$N$4), 0)</f>
        <v/>
      </c>
      <c r="C59">
        <f>ROUND($O$3*POWER(A59 -1,$O$4), 0)</f>
        <v/>
      </c>
      <c r="D59">
        <f>ROUND($P$3 * POWER(A59 - 1, $P$4), 0)</f>
        <v/>
      </c>
      <c r="E59">
        <f>ROUND($Q$3 * POWER(A59 - 1, $Q$4), 0)</f>
        <v/>
      </c>
      <c r="F59">
        <f>B59-B58</f>
        <v/>
      </c>
      <c r="G59">
        <f>C59-C58</f>
        <v/>
      </c>
      <c r="H59">
        <f>D59-D58</f>
        <v/>
      </c>
      <c r="I59">
        <f>E59-E58</f>
        <v/>
      </c>
    </row>
    <row r="60">
      <c r="A60" s="36" t="n">
        <v>59</v>
      </c>
      <c r="B60">
        <f>ROUND( $N$3*POWER(A60-1,$N$4), 0)</f>
        <v/>
      </c>
      <c r="C60">
        <f>ROUND($O$3*POWER(A60 -1,$O$4), 0)</f>
        <v/>
      </c>
      <c r="D60">
        <f>ROUND($P$3 * POWER(A60 - 1, $P$4), 0)</f>
        <v/>
      </c>
      <c r="E60">
        <f>ROUND($Q$3 * POWER(A60 - 1, $Q$4), 0)</f>
        <v/>
      </c>
      <c r="F60">
        <f>B60-B59</f>
        <v/>
      </c>
      <c r="G60">
        <f>C60-C59</f>
        <v/>
      </c>
      <c r="H60">
        <f>D60-D59</f>
        <v/>
      </c>
      <c r="I60">
        <f>E60-E59</f>
        <v/>
      </c>
    </row>
    <row r="61">
      <c r="A61" s="37" t="n">
        <v>60</v>
      </c>
      <c r="B61">
        <f>ROUND( $N$3*POWER(A61-1,$N$4), 0)</f>
        <v/>
      </c>
      <c r="C61">
        <f>ROUND($O$3*POWER(A61 -1,$O$4), 0)</f>
        <v/>
      </c>
      <c r="D61">
        <f>ROUND($P$3 * POWER(A61 - 1, $P$4), 0)</f>
        <v/>
      </c>
      <c r="E61">
        <f>ROUND($Q$3 * POWER(A61 - 1, $Q$4), 0)</f>
        <v/>
      </c>
      <c r="F61">
        <f>B61-B60</f>
        <v/>
      </c>
      <c r="G61">
        <f>C61-C60</f>
        <v/>
      </c>
      <c r="H61">
        <f>D61-D60</f>
        <v/>
      </c>
      <c r="I61">
        <f>E61-E60</f>
        <v/>
      </c>
    </row>
    <row r="62">
      <c r="A62" s="36" t="n">
        <v>61</v>
      </c>
      <c r="B62">
        <f>ROUND( $N$3*POWER(A62-1,$N$4), 0)</f>
        <v/>
      </c>
      <c r="C62">
        <f>ROUND($O$3*POWER(A62 -1,$O$4), 0)</f>
        <v/>
      </c>
      <c r="D62">
        <f>ROUND($P$3 * POWER(A62 - 1, $P$4), 0)</f>
        <v/>
      </c>
      <c r="E62">
        <f>ROUND($Q$3 * POWER(A62 - 1, $Q$4), 0)</f>
        <v/>
      </c>
      <c r="F62">
        <f>B62-B61</f>
        <v/>
      </c>
      <c r="G62">
        <f>C62-C61</f>
        <v/>
      </c>
      <c r="H62">
        <f>D62-D61</f>
        <v/>
      </c>
      <c r="I62">
        <f>E62-E61</f>
        <v/>
      </c>
    </row>
    <row r="63">
      <c r="A63" s="37" t="n">
        <v>62</v>
      </c>
      <c r="B63">
        <f>ROUND( $N$3*POWER(A63-1,$N$4), 0)</f>
        <v/>
      </c>
      <c r="C63">
        <f>ROUND($O$3*POWER(A63 -1,$O$4), 0)</f>
        <v/>
      </c>
      <c r="D63">
        <f>ROUND($P$3 * POWER(A63 - 1, $P$4), 0)</f>
        <v/>
      </c>
      <c r="E63">
        <f>ROUND($Q$3 * POWER(A63 - 1, $Q$4), 0)</f>
        <v/>
      </c>
      <c r="F63">
        <f>B63-B62</f>
        <v/>
      </c>
      <c r="G63">
        <f>C63-C62</f>
        <v/>
      </c>
      <c r="H63">
        <f>D63-D62</f>
        <v/>
      </c>
      <c r="I63">
        <f>E63-E62</f>
        <v/>
      </c>
    </row>
    <row r="64">
      <c r="A64" s="36" t="n">
        <v>63</v>
      </c>
      <c r="B64">
        <f>ROUND( $N$3*POWER(A64-1,$N$4), 0)</f>
        <v/>
      </c>
      <c r="C64">
        <f>ROUND($O$3*POWER(A64 -1,$O$4), 0)</f>
        <v/>
      </c>
      <c r="D64">
        <f>ROUND($P$3 * POWER(A64 - 1, $P$4), 0)</f>
        <v/>
      </c>
      <c r="E64">
        <f>ROUND($Q$3 * POWER(A64 - 1, $Q$4), 0)</f>
        <v/>
      </c>
      <c r="F64">
        <f>B64-B63</f>
        <v/>
      </c>
      <c r="G64">
        <f>C64-C63</f>
        <v/>
      </c>
      <c r="H64">
        <f>D64-D63</f>
        <v/>
      </c>
      <c r="I64">
        <f>E64-E63</f>
        <v/>
      </c>
    </row>
    <row r="65">
      <c r="A65" s="37" t="n">
        <v>64</v>
      </c>
      <c r="B65">
        <f>ROUND( $N$3*POWER(A65-1,$N$4), 0)</f>
        <v/>
      </c>
      <c r="C65">
        <f>ROUND($O$3*POWER(A65 -1,$O$4), 0)</f>
        <v/>
      </c>
      <c r="D65">
        <f>ROUND($P$3 * POWER(A65 - 1, $P$4), 0)</f>
        <v/>
      </c>
      <c r="E65">
        <f>ROUND($Q$3 * POWER(A65 - 1, $Q$4), 0)</f>
        <v/>
      </c>
      <c r="F65">
        <f>B65-B64</f>
        <v/>
      </c>
      <c r="G65">
        <f>C65-C64</f>
        <v/>
      </c>
      <c r="H65">
        <f>D65-D64</f>
        <v/>
      </c>
      <c r="I65">
        <f>E65-E64</f>
        <v/>
      </c>
    </row>
    <row r="66">
      <c r="A66" s="36" t="n">
        <v>65</v>
      </c>
      <c r="B66">
        <f>ROUND( $N$3*POWER(A66-1,$N$4), 0)</f>
        <v/>
      </c>
      <c r="C66">
        <f>ROUND($O$3*POWER(A66 -1,$O$4), 0)</f>
        <v/>
      </c>
      <c r="D66">
        <f>ROUND($P$3 * POWER(A66 - 1, $P$4), 0)</f>
        <v/>
      </c>
      <c r="E66">
        <f>ROUND($Q$3 * POWER(A66 - 1, $Q$4), 0)</f>
        <v/>
      </c>
      <c r="F66">
        <f>B66-B65</f>
        <v/>
      </c>
      <c r="G66">
        <f>C66-C65</f>
        <v/>
      </c>
      <c r="H66">
        <f>D66-D65</f>
        <v/>
      </c>
      <c r="I66">
        <f>E66-E65</f>
        <v/>
      </c>
    </row>
    <row r="67">
      <c r="A67" s="37" t="n">
        <v>66</v>
      </c>
      <c r="B67">
        <f>ROUND( $N$3*POWER(A67-1,$N$4), 0)</f>
        <v/>
      </c>
      <c r="C67">
        <f>ROUND($O$3*POWER(A67 -1,$O$4), 0)</f>
        <v/>
      </c>
      <c r="D67">
        <f>ROUND($P$3 * POWER(A67 - 1, $P$4), 0)</f>
        <v/>
      </c>
      <c r="E67">
        <f>ROUND($Q$3 * POWER(A67 - 1, $Q$4), 0)</f>
        <v/>
      </c>
      <c r="F67">
        <f>B67-B66</f>
        <v/>
      </c>
      <c r="G67">
        <f>C67-C66</f>
        <v/>
      </c>
      <c r="H67">
        <f>D67-D66</f>
        <v/>
      </c>
      <c r="I67">
        <f>E67-E66</f>
        <v/>
      </c>
    </row>
    <row r="68">
      <c r="A68" s="36" t="n">
        <v>67</v>
      </c>
      <c r="B68">
        <f>ROUND( $N$3*POWER(A68-1,$N$4), 0)</f>
        <v/>
      </c>
      <c r="C68">
        <f>ROUND($O$3*POWER(A68 -1,$O$4), 0)</f>
        <v/>
      </c>
      <c r="D68">
        <f>ROUND($P$3 * POWER(A68 - 1, $P$4), 0)</f>
        <v/>
      </c>
      <c r="E68">
        <f>ROUND($Q$3 * POWER(A68 - 1, $Q$4), 0)</f>
        <v/>
      </c>
      <c r="F68">
        <f>B68-B67</f>
        <v/>
      </c>
      <c r="G68">
        <f>C68-C67</f>
        <v/>
      </c>
      <c r="H68">
        <f>D68-D67</f>
        <v/>
      </c>
      <c r="I68">
        <f>E68-E67</f>
        <v/>
      </c>
    </row>
    <row r="69">
      <c r="A69" s="37" t="n">
        <v>68</v>
      </c>
      <c r="B69">
        <f>ROUND( $N$3*POWER(A69-1,$N$4), 0)</f>
        <v/>
      </c>
      <c r="C69">
        <f>ROUND($O$3*POWER(A69 -1,$O$4), 0)</f>
        <v/>
      </c>
      <c r="D69">
        <f>ROUND($P$3 * POWER(A69 - 1, $P$4), 0)</f>
        <v/>
      </c>
      <c r="E69">
        <f>ROUND($Q$3 * POWER(A69 - 1, $Q$4), 0)</f>
        <v/>
      </c>
      <c r="F69">
        <f>B69-B68</f>
        <v/>
      </c>
      <c r="G69">
        <f>C69-C68</f>
        <v/>
      </c>
      <c r="H69">
        <f>D69-D68</f>
        <v/>
      </c>
      <c r="I69">
        <f>E69-E68</f>
        <v/>
      </c>
    </row>
    <row r="70">
      <c r="A70" s="36" t="n">
        <v>69</v>
      </c>
      <c r="B70">
        <f>ROUND( $N$3*POWER(A70-1,$N$4), 0)</f>
        <v/>
      </c>
      <c r="C70">
        <f>ROUND($O$3*POWER(A70 -1,$O$4), 0)</f>
        <v/>
      </c>
      <c r="D70">
        <f>ROUND($P$3 * POWER(A70 - 1, $P$4), 0)</f>
        <v/>
      </c>
      <c r="E70">
        <f>ROUND($Q$3 * POWER(A70 - 1, $Q$4), 0)</f>
        <v/>
      </c>
      <c r="F70">
        <f>B70-B69</f>
        <v/>
      </c>
      <c r="G70">
        <f>C70-C69</f>
        <v/>
      </c>
      <c r="H70">
        <f>D70-D69</f>
        <v/>
      </c>
      <c r="I70">
        <f>E70-E69</f>
        <v/>
      </c>
    </row>
    <row r="71">
      <c r="A71" s="37" t="n">
        <v>70</v>
      </c>
      <c r="B71">
        <f>ROUND( $N$3*POWER(A71-1,$N$4), 0)</f>
        <v/>
      </c>
      <c r="C71">
        <f>ROUND($O$3*POWER(A71 -1,$O$4), 0)</f>
        <v/>
      </c>
      <c r="D71">
        <f>ROUND($P$3 * POWER(A71 - 1, $P$4), 0)</f>
        <v/>
      </c>
      <c r="E71">
        <f>ROUND($Q$3 * POWER(A71 - 1, $Q$4), 0)</f>
        <v/>
      </c>
      <c r="F71">
        <f>B71-B70</f>
        <v/>
      </c>
      <c r="G71">
        <f>C71-C70</f>
        <v/>
      </c>
      <c r="H71">
        <f>D71-D70</f>
        <v/>
      </c>
      <c r="I71">
        <f>E71-E70</f>
        <v/>
      </c>
    </row>
    <row r="72">
      <c r="A72" s="36" t="n">
        <v>71</v>
      </c>
      <c r="B72">
        <f>ROUND( $N$3*POWER(A72-1,$N$4), 0)</f>
        <v/>
      </c>
      <c r="C72">
        <f>ROUND($O$3*POWER(A72 -1,$O$4), 0)</f>
        <v/>
      </c>
      <c r="D72">
        <f>ROUND($P$3 * POWER(A72 - 1, $P$4), 0)</f>
        <v/>
      </c>
      <c r="E72">
        <f>ROUND($Q$3 * POWER(A72 - 1, $Q$4), 0)</f>
        <v/>
      </c>
      <c r="F72">
        <f>B72-B71</f>
        <v/>
      </c>
      <c r="G72">
        <f>C72-C71</f>
        <v/>
      </c>
      <c r="H72">
        <f>D72-D71</f>
        <v/>
      </c>
      <c r="I72">
        <f>E72-E71</f>
        <v/>
      </c>
    </row>
    <row r="73">
      <c r="A73" s="37" t="n">
        <v>72</v>
      </c>
      <c r="B73">
        <f>ROUND( $N$3*POWER(A73-1,$N$4), 0)</f>
        <v/>
      </c>
      <c r="C73">
        <f>ROUND($O$3*POWER(A73 -1,$O$4), 0)</f>
        <v/>
      </c>
      <c r="D73">
        <f>ROUND($P$3 * POWER(A73 - 1, $P$4), 0)</f>
        <v/>
      </c>
      <c r="E73">
        <f>ROUND($Q$3 * POWER(A73 - 1, $Q$4), 0)</f>
        <v/>
      </c>
      <c r="F73">
        <f>B73-B72</f>
        <v/>
      </c>
      <c r="G73">
        <f>C73-C72</f>
        <v/>
      </c>
      <c r="H73">
        <f>D73-D72</f>
        <v/>
      </c>
      <c r="I73">
        <f>E73-E72</f>
        <v/>
      </c>
    </row>
    <row r="74">
      <c r="A74" s="36" t="n">
        <v>73</v>
      </c>
      <c r="B74">
        <f>ROUND( $N$3*POWER(A74-1,$N$4), 0)</f>
        <v/>
      </c>
      <c r="C74">
        <f>ROUND($O$3*POWER(A74 -1,$O$4), 0)</f>
        <v/>
      </c>
      <c r="D74">
        <f>ROUND($P$3 * POWER(A74 - 1, $P$4), 0)</f>
        <v/>
      </c>
      <c r="E74">
        <f>ROUND($Q$3 * POWER(A74 - 1, $Q$4), 0)</f>
        <v/>
      </c>
      <c r="F74">
        <f>B74-B73</f>
        <v/>
      </c>
      <c r="G74">
        <f>C74-C73</f>
        <v/>
      </c>
      <c r="H74">
        <f>D74-D73</f>
        <v/>
      </c>
      <c r="I74">
        <f>E74-E73</f>
        <v/>
      </c>
    </row>
    <row r="75">
      <c r="A75" s="37" t="n">
        <v>74</v>
      </c>
      <c r="B75">
        <f>ROUND( $N$3*POWER(A75-1,$N$4), 0)</f>
        <v/>
      </c>
      <c r="C75">
        <f>ROUND($O$3*POWER(A75 -1,$O$4), 0)</f>
        <v/>
      </c>
      <c r="D75">
        <f>ROUND($P$3 * POWER(A75 - 1, $P$4), 0)</f>
        <v/>
      </c>
      <c r="E75">
        <f>ROUND($Q$3 * POWER(A75 - 1, $Q$4), 0)</f>
        <v/>
      </c>
      <c r="F75">
        <f>B75-B74</f>
        <v/>
      </c>
      <c r="G75">
        <f>C75-C74</f>
        <v/>
      </c>
      <c r="H75">
        <f>D75-D74</f>
        <v/>
      </c>
      <c r="I75">
        <f>E75-E74</f>
        <v/>
      </c>
    </row>
    <row r="76">
      <c r="A76" s="36" t="n">
        <v>75</v>
      </c>
      <c r="B76">
        <f>ROUND( $N$3*POWER(A76-1,$N$4), 0)</f>
        <v/>
      </c>
      <c r="C76">
        <f>ROUND($O$3*POWER(A76 -1,$O$4), 0)</f>
        <v/>
      </c>
      <c r="D76">
        <f>ROUND($P$3 * POWER(A76 - 1, $P$4), 0)</f>
        <v/>
      </c>
      <c r="E76">
        <f>ROUND($Q$3 * POWER(A76 - 1, $Q$4), 0)</f>
        <v/>
      </c>
      <c r="F76">
        <f>B76-B75</f>
        <v/>
      </c>
      <c r="G76">
        <f>C76-C75</f>
        <v/>
      </c>
      <c r="H76">
        <f>D76-D75</f>
        <v/>
      </c>
      <c r="I76">
        <f>E76-E75</f>
        <v/>
      </c>
    </row>
    <row r="77">
      <c r="A77" s="37" t="n">
        <v>76</v>
      </c>
      <c r="B77">
        <f>ROUND( $N$3*POWER(A77-1,$N$4), 0)</f>
        <v/>
      </c>
      <c r="C77">
        <f>ROUND($O$3*POWER(A77 -1,$O$4), 0)</f>
        <v/>
      </c>
      <c r="D77">
        <f>ROUND($P$3 * POWER(A77 - 1, $P$4), 0)</f>
        <v/>
      </c>
      <c r="E77">
        <f>ROUND($Q$3 * POWER(A77 - 1, $Q$4), 0)</f>
        <v/>
      </c>
      <c r="F77">
        <f>B77-B76</f>
        <v/>
      </c>
      <c r="G77">
        <f>C77-C76</f>
        <v/>
      </c>
      <c r="H77">
        <f>D77-D76</f>
        <v/>
      </c>
      <c r="I77">
        <f>E77-E76</f>
        <v/>
      </c>
    </row>
    <row r="78">
      <c r="A78" s="36" t="n">
        <v>77</v>
      </c>
      <c r="B78">
        <f>ROUND( $N$3*POWER(A78-1,$N$4), 0)</f>
        <v/>
      </c>
      <c r="C78">
        <f>ROUND($O$3*POWER(A78 -1,$O$4), 0)</f>
        <v/>
      </c>
      <c r="D78">
        <f>ROUND($P$3 * POWER(A78 - 1, $P$4), 0)</f>
        <v/>
      </c>
      <c r="E78">
        <f>ROUND($Q$3 * POWER(A78 - 1, $Q$4), 0)</f>
        <v/>
      </c>
      <c r="F78">
        <f>B78-B77</f>
        <v/>
      </c>
      <c r="G78">
        <f>C78-C77</f>
        <v/>
      </c>
      <c r="H78">
        <f>D78-D77</f>
        <v/>
      </c>
      <c r="I78">
        <f>E78-E77</f>
        <v/>
      </c>
    </row>
    <row r="79">
      <c r="A79" s="37" t="n">
        <v>78</v>
      </c>
      <c r="B79">
        <f>ROUND( $N$3*POWER(A79-1,$N$4), 0)</f>
        <v/>
      </c>
      <c r="C79">
        <f>ROUND($O$3*POWER(A79 -1,$O$4), 0)</f>
        <v/>
      </c>
      <c r="D79">
        <f>ROUND($P$3 * POWER(A79 - 1, $P$4), 0)</f>
        <v/>
      </c>
      <c r="E79">
        <f>ROUND($Q$3 * POWER(A79 - 1, $Q$4), 0)</f>
        <v/>
      </c>
      <c r="F79">
        <f>B79-B78</f>
        <v/>
      </c>
      <c r="G79">
        <f>C79-C78</f>
        <v/>
      </c>
      <c r="H79">
        <f>D79-D78</f>
        <v/>
      </c>
      <c r="I79">
        <f>E79-E78</f>
        <v/>
      </c>
    </row>
    <row r="80">
      <c r="A80" s="36" t="n">
        <v>79</v>
      </c>
      <c r="B80">
        <f>ROUND( $N$3*POWER(A80-1,$N$4), 0)</f>
        <v/>
      </c>
      <c r="C80">
        <f>ROUND($O$3*POWER(A80 -1,$O$4), 0)</f>
        <v/>
      </c>
      <c r="D80">
        <f>ROUND($P$3 * POWER(A80 - 1, $P$4), 0)</f>
        <v/>
      </c>
      <c r="E80">
        <f>ROUND($Q$3 * POWER(A80 - 1, $Q$4), 0)</f>
        <v/>
      </c>
      <c r="F80">
        <f>B80-B79</f>
        <v/>
      </c>
      <c r="G80">
        <f>C80-C79</f>
        <v/>
      </c>
      <c r="H80">
        <f>D80-D79</f>
        <v/>
      </c>
      <c r="I80">
        <f>E80-E79</f>
        <v/>
      </c>
    </row>
    <row r="81">
      <c r="A81" s="37" t="n">
        <v>80</v>
      </c>
      <c r="B81">
        <f>ROUND( $N$3*POWER(A81-1,$N$4), 0)</f>
        <v/>
      </c>
      <c r="C81">
        <f>ROUND($O$3*POWER(A81 -1,$O$4), 0)</f>
        <v/>
      </c>
      <c r="D81">
        <f>ROUND($P$3 * POWER(A81 - 1, $P$4), 0)</f>
        <v/>
      </c>
      <c r="E81">
        <f>ROUND($Q$3 * POWER(A81 - 1, $Q$4), 0)</f>
        <v/>
      </c>
      <c r="F81">
        <f>B81-B80</f>
        <v/>
      </c>
      <c r="G81">
        <f>C81-C80</f>
        <v/>
      </c>
      <c r="H81">
        <f>D81-D80</f>
        <v/>
      </c>
      <c r="I81">
        <f>E81-E80</f>
        <v/>
      </c>
    </row>
    <row r="82">
      <c r="A82" s="36" t="n">
        <v>81</v>
      </c>
      <c r="B82">
        <f>ROUND( $N$3*POWER(A82-1,$N$4), 0)</f>
        <v/>
      </c>
      <c r="C82">
        <f>ROUND($O$3*POWER(A82 -1,$O$4), 0)</f>
        <v/>
      </c>
      <c r="D82">
        <f>ROUND($P$3 * POWER(A82 - 1, $P$4), 0)</f>
        <v/>
      </c>
      <c r="E82">
        <f>ROUND($Q$3 * POWER(A82 - 1, $Q$4), 0)</f>
        <v/>
      </c>
      <c r="F82">
        <f>B82-B81</f>
        <v/>
      </c>
      <c r="G82">
        <f>C82-C81</f>
        <v/>
      </c>
      <c r="H82">
        <f>D82-D81</f>
        <v/>
      </c>
      <c r="I82">
        <f>E82-E81</f>
        <v/>
      </c>
    </row>
    <row r="83">
      <c r="A83" s="37" t="n">
        <v>82</v>
      </c>
      <c r="B83">
        <f>ROUND( $N$3*POWER(A83-1,$N$4), 0)</f>
        <v/>
      </c>
      <c r="C83">
        <f>ROUND($O$3*POWER(A83 -1,$O$4), 0)</f>
        <v/>
      </c>
      <c r="D83">
        <f>ROUND($P$3 * POWER(A83 - 1, $P$4), 0)</f>
        <v/>
      </c>
      <c r="E83">
        <f>ROUND($Q$3 * POWER(A83 - 1, $Q$4), 0)</f>
        <v/>
      </c>
      <c r="F83">
        <f>B83-B82</f>
        <v/>
      </c>
      <c r="G83">
        <f>C83-C82</f>
        <v/>
      </c>
      <c r="H83">
        <f>D83-D82</f>
        <v/>
      </c>
      <c r="I83">
        <f>E83-E82</f>
        <v/>
      </c>
    </row>
    <row r="84">
      <c r="A84" s="36" t="n">
        <v>83</v>
      </c>
      <c r="B84">
        <f>ROUND( $N$3*POWER(A84-1,$N$4), 0)</f>
        <v/>
      </c>
      <c r="C84">
        <f>ROUND($O$3*POWER(A84 -1,$O$4), 0)</f>
        <v/>
      </c>
      <c r="D84">
        <f>ROUND($P$3 * POWER(A84 - 1, $P$4), 0)</f>
        <v/>
      </c>
      <c r="E84">
        <f>ROUND($Q$3 * POWER(A84 - 1, $Q$4), 0)</f>
        <v/>
      </c>
      <c r="F84">
        <f>B84-B83</f>
        <v/>
      </c>
      <c r="G84">
        <f>C84-C83</f>
        <v/>
      </c>
      <c r="H84">
        <f>D84-D83</f>
        <v/>
      </c>
      <c r="I84">
        <f>E84-E83</f>
        <v/>
      </c>
    </row>
    <row r="85">
      <c r="A85" s="37" t="n">
        <v>84</v>
      </c>
      <c r="B85">
        <f>ROUND( $N$3*POWER(A85-1,$N$4), 0)</f>
        <v/>
      </c>
      <c r="C85">
        <f>ROUND($O$3*POWER(A85 -1,$O$4), 0)</f>
        <v/>
      </c>
      <c r="D85">
        <f>ROUND($P$3 * POWER(A85 - 1, $P$4), 0)</f>
        <v/>
      </c>
      <c r="E85">
        <f>ROUND($Q$3 * POWER(A85 - 1, $Q$4), 0)</f>
        <v/>
      </c>
      <c r="F85">
        <f>B85-B84</f>
        <v/>
      </c>
      <c r="G85">
        <f>C85-C84</f>
        <v/>
      </c>
      <c r="H85">
        <f>D85-D84</f>
        <v/>
      </c>
      <c r="I85">
        <f>E85-E84</f>
        <v/>
      </c>
    </row>
    <row r="86">
      <c r="A86" s="36" t="n">
        <v>85</v>
      </c>
      <c r="B86">
        <f>ROUND( $N$3*POWER(A86-1,$N$4), 0)</f>
        <v/>
      </c>
      <c r="C86">
        <f>ROUND($O$3*POWER(A86 -1,$O$4), 0)</f>
        <v/>
      </c>
      <c r="D86">
        <f>ROUND($P$3 * POWER(A86 - 1, $P$4), 0)</f>
        <v/>
      </c>
      <c r="E86">
        <f>ROUND($Q$3 * POWER(A86 - 1, $Q$4), 0)</f>
        <v/>
      </c>
      <c r="F86">
        <f>B86-B85</f>
        <v/>
      </c>
      <c r="G86">
        <f>C86-C85</f>
        <v/>
      </c>
      <c r="H86">
        <f>D86-D85</f>
        <v/>
      </c>
      <c r="I86">
        <f>E86-E85</f>
        <v/>
      </c>
    </row>
    <row r="87">
      <c r="A87" s="37" t="n">
        <v>86</v>
      </c>
      <c r="B87">
        <f>ROUND( $N$3*POWER(A87-1,$N$4), 0)</f>
        <v/>
      </c>
      <c r="C87">
        <f>ROUND($O$3*POWER(A87 -1,$O$4), 0)</f>
        <v/>
      </c>
      <c r="D87">
        <f>ROUND($P$3 * POWER(A87 - 1, $P$4), 0)</f>
        <v/>
      </c>
      <c r="E87">
        <f>ROUND($Q$3 * POWER(A87 - 1, $Q$4), 0)</f>
        <v/>
      </c>
      <c r="F87">
        <f>B87-B86</f>
        <v/>
      </c>
      <c r="G87">
        <f>C87-C86</f>
        <v/>
      </c>
      <c r="H87">
        <f>D87-D86</f>
        <v/>
      </c>
      <c r="I87">
        <f>E87-E86</f>
        <v/>
      </c>
    </row>
    <row r="88">
      <c r="A88" s="36" t="n">
        <v>87</v>
      </c>
      <c r="B88">
        <f>ROUND( $N$3*POWER(A88-1,$N$4), 0)</f>
        <v/>
      </c>
      <c r="C88">
        <f>ROUND($O$3*POWER(A88 -1,$O$4), 0)</f>
        <v/>
      </c>
      <c r="D88">
        <f>ROUND($P$3 * POWER(A88 - 1, $P$4), 0)</f>
        <v/>
      </c>
      <c r="E88">
        <f>ROUND($Q$3 * POWER(A88 - 1, $Q$4), 0)</f>
        <v/>
      </c>
      <c r="F88">
        <f>B88-B87</f>
        <v/>
      </c>
      <c r="G88">
        <f>C88-C87</f>
        <v/>
      </c>
      <c r="H88">
        <f>D88-D87</f>
        <v/>
      </c>
      <c r="I88">
        <f>E88-E87</f>
        <v/>
      </c>
    </row>
    <row r="89">
      <c r="A89" s="37" t="n">
        <v>88</v>
      </c>
      <c r="B89">
        <f>ROUND( $N$3*POWER(A89-1,$N$4), 0)</f>
        <v/>
      </c>
      <c r="C89">
        <f>ROUND($O$3*POWER(A89 -1,$O$4), 0)</f>
        <v/>
      </c>
      <c r="D89">
        <f>ROUND($P$3 * POWER(A89 - 1, $P$4), 0)</f>
        <v/>
      </c>
      <c r="E89">
        <f>ROUND($Q$3 * POWER(A89 - 1, $Q$4), 0)</f>
        <v/>
      </c>
      <c r="F89">
        <f>B89-B88</f>
        <v/>
      </c>
      <c r="G89">
        <f>C89-C88</f>
        <v/>
      </c>
      <c r="H89">
        <f>D89-D88</f>
        <v/>
      </c>
      <c r="I89">
        <f>E89-E88</f>
        <v/>
      </c>
    </row>
    <row r="90">
      <c r="A90" s="36" t="n">
        <v>89</v>
      </c>
      <c r="B90">
        <f>ROUND( $N$3*POWER(A90-1,$N$4), 0)</f>
        <v/>
      </c>
      <c r="C90">
        <f>ROUND($O$3*POWER(A90 -1,$O$4), 0)</f>
        <v/>
      </c>
      <c r="D90">
        <f>ROUND($P$3 * POWER(A90 - 1, $P$4), 0)</f>
        <v/>
      </c>
      <c r="E90">
        <f>ROUND($Q$3 * POWER(A90 - 1, $Q$4), 0)</f>
        <v/>
      </c>
      <c r="F90">
        <f>B90-B89</f>
        <v/>
      </c>
      <c r="G90">
        <f>C90-C89</f>
        <v/>
      </c>
      <c r="H90">
        <f>D90-D89</f>
        <v/>
      </c>
      <c r="I90">
        <f>E90-E89</f>
        <v/>
      </c>
    </row>
    <row r="91">
      <c r="A91" s="37" t="n">
        <v>90</v>
      </c>
      <c r="B91">
        <f>ROUND( $N$3*POWER(A91-1,$N$4), 0)</f>
        <v/>
      </c>
      <c r="C91">
        <f>ROUND($O$3*POWER(A91 -1,$O$4), 0)</f>
        <v/>
      </c>
      <c r="D91">
        <f>ROUND($P$3 * POWER(A91 - 1, $P$4), 0)</f>
        <v/>
      </c>
      <c r="E91">
        <f>ROUND($Q$3 * POWER(A91 - 1, $Q$4), 0)</f>
        <v/>
      </c>
      <c r="F91">
        <f>B91-B90</f>
        <v/>
      </c>
      <c r="G91">
        <f>C91-C90</f>
        <v/>
      </c>
      <c r="H91">
        <f>D91-D90</f>
        <v/>
      </c>
      <c r="I91">
        <f>E91-E90</f>
        <v/>
      </c>
    </row>
    <row r="92">
      <c r="A92" s="36" t="n">
        <v>91</v>
      </c>
      <c r="B92">
        <f>ROUND( $N$3*POWER(A92-1,$N$4), 0)</f>
        <v/>
      </c>
      <c r="C92">
        <f>ROUND($O$3*POWER(A92 -1,$O$4), 0)</f>
        <v/>
      </c>
      <c r="D92">
        <f>ROUND($P$3 * POWER(A92 - 1, $P$4), 0)</f>
        <v/>
      </c>
      <c r="E92">
        <f>ROUND($Q$3 * POWER(A92 - 1, $Q$4), 0)</f>
        <v/>
      </c>
      <c r="F92">
        <f>B92-B91</f>
        <v/>
      </c>
      <c r="G92">
        <f>C92-C91</f>
        <v/>
      </c>
      <c r="H92">
        <f>D92-D91</f>
        <v/>
      </c>
      <c r="I92">
        <f>E92-E91</f>
        <v/>
      </c>
    </row>
    <row r="93">
      <c r="A93" s="37" t="n">
        <v>92</v>
      </c>
      <c r="B93">
        <f>ROUND( $N$3*POWER(A93-1,$N$4), 0)</f>
        <v/>
      </c>
      <c r="C93">
        <f>ROUND($O$3*POWER(A93 -1,$O$4), 0)</f>
        <v/>
      </c>
      <c r="D93">
        <f>ROUND($P$3 * POWER(A93 - 1, $P$4), 0)</f>
        <v/>
      </c>
      <c r="E93">
        <f>ROUND($Q$3 * POWER(A93 - 1, $Q$4), 0)</f>
        <v/>
      </c>
      <c r="F93">
        <f>B93-B92</f>
        <v/>
      </c>
      <c r="G93">
        <f>C93-C92</f>
        <v/>
      </c>
      <c r="H93">
        <f>D93-D92</f>
        <v/>
      </c>
      <c r="I93">
        <f>E93-E92</f>
        <v/>
      </c>
    </row>
    <row r="94">
      <c r="A94" s="36" t="n">
        <v>93</v>
      </c>
      <c r="B94">
        <f>ROUND( $N$3*POWER(A94-1,$N$4), 0)</f>
        <v/>
      </c>
      <c r="C94">
        <f>ROUND($O$3*POWER(A94 -1,$O$4), 0)</f>
        <v/>
      </c>
      <c r="D94">
        <f>ROUND($P$3 * POWER(A94 - 1, $P$4), 0)</f>
        <v/>
      </c>
      <c r="E94">
        <f>ROUND($Q$3 * POWER(A94 - 1, $Q$4), 0)</f>
        <v/>
      </c>
      <c r="F94">
        <f>B94-B93</f>
        <v/>
      </c>
      <c r="G94">
        <f>C94-C93</f>
        <v/>
      </c>
      <c r="H94">
        <f>D94-D93</f>
        <v/>
      </c>
      <c r="I94">
        <f>E94-E93</f>
        <v/>
      </c>
    </row>
    <row r="95">
      <c r="A95" s="37" t="n">
        <v>94</v>
      </c>
      <c r="B95">
        <f>ROUND( $N$3*POWER(A95-1,$N$4), 0)</f>
        <v/>
      </c>
      <c r="C95">
        <f>ROUND($O$3*POWER(A95 -1,$O$4), 0)</f>
        <v/>
      </c>
      <c r="D95">
        <f>ROUND($P$3 * POWER(A95 - 1, $P$4), 0)</f>
        <v/>
      </c>
      <c r="E95">
        <f>ROUND($Q$3 * POWER(A95 - 1, $Q$4), 0)</f>
        <v/>
      </c>
      <c r="F95">
        <f>B95-B94</f>
        <v/>
      </c>
      <c r="G95">
        <f>C95-C94</f>
        <v/>
      </c>
      <c r="H95">
        <f>D95-D94</f>
        <v/>
      </c>
      <c r="I95">
        <f>E95-E94</f>
        <v/>
      </c>
    </row>
    <row r="96">
      <c r="A96" s="36" t="n">
        <v>95</v>
      </c>
      <c r="B96">
        <f>ROUND( $N$3*POWER(A96-1,$N$4), 0)</f>
        <v/>
      </c>
      <c r="C96">
        <f>ROUND($O$3*POWER(A96 -1,$O$4), 0)</f>
        <v/>
      </c>
      <c r="D96">
        <f>ROUND($P$3 * POWER(A96 - 1, $P$4), 0)</f>
        <v/>
      </c>
      <c r="E96">
        <f>ROUND($Q$3 * POWER(A96 - 1, $Q$4), 0)</f>
        <v/>
      </c>
      <c r="F96">
        <f>B96-B95</f>
        <v/>
      </c>
      <c r="G96">
        <f>C96-C95</f>
        <v/>
      </c>
      <c r="H96">
        <f>D96-D95</f>
        <v/>
      </c>
      <c r="I96">
        <f>E96-E95</f>
        <v/>
      </c>
    </row>
    <row r="97">
      <c r="A97" s="37" t="n">
        <v>96</v>
      </c>
      <c r="B97">
        <f>ROUND( $N$3*POWER(A97-1,$N$4), 0)</f>
        <v/>
      </c>
      <c r="C97">
        <f>ROUND($O$3*POWER(A97 -1,$O$4), 0)</f>
        <v/>
      </c>
      <c r="D97">
        <f>ROUND($P$3 * POWER(A97 - 1, $P$4), 0)</f>
        <v/>
      </c>
      <c r="E97">
        <f>ROUND($Q$3 * POWER(A97 - 1, $Q$4), 0)</f>
        <v/>
      </c>
      <c r="F97">
        <f>B97-B96</f>
        <v/>
      </c>
      <c r="G97">
        <f>C97-C96</f>
        <v/>
      </c>
      <c r="H97">
        <f>D97-D96</f>
        <v/>
      </c>
      <c r="I97">
        <f>E97-E96</f>
        <v/>
      </c>
    </row>
    <row r="98">
      <c r="A98" s="36" t="n">
        <v>97</v>
      </c>
      <c r="B98">
        <f>ROUND( $N$3*POWER(A98-1,$N$4), 0)</f>
        <v/>
      </c>
      <c r="C98">
        <f>ROUND($O$3*POWER(A98 -1,$O$4), 0)</f>
        <v/>
      </c>
      <c r="D98">
        <f>ROUND($P$3 * POWER(A98 - 1, $P$4), 0)</f>
        <v/>
      </c>
      <c r="E98">
        <f>ROUND($Q$3 * POWER(A98 - 1, $Q$4), 0)</f>
        <v/>
      </c>
      <c r="F98">
        <f>B98-B97</f>
        <v/>
      </c>
      <c r="G98">
        <f>C98-C97</f>
        <v/>
      </c>
      <c r="H98">
        <f>D98-D97</f>
        <v/>
      </c>
      <c r="I98">
        <f>E98-E97</f>
        <v/>
      </c>
    </row>
    <row r="99">
      <c r="A99" s="37" t="n">
        <v>98</v>
      </c>
      <c r="B99">
        <f>ROUND( $N$3*POWER(A99-1,$N$4), 0)</f>
        <v/>
      </c>
      <c r="C99">
        <f>ROUND($O$3*POWER(A99 -1,$O$4), 0)</f>
        <v/>
      </c>
      <c r="D99">
        <f>ROUND($P$3 * POWER(A99 - 1, $P$4), 0)</f>
        <v/>
      </c>
      <c r="E99">
        <f>ROUND($Q$3 * POWER(A99 - 1, $Q$4), 0)</f>
        <v/>
      </c>
      <c r="F99">
        <f>B99-B98</f>
        <v/>
      </c>
      <c r="G99">
        <f>C99-C98</f>
        <v/>
      </c>
      <c r="H99">
        <f>D99-D98</f>
        <v/>
      </c>
      <c r="I99">
        <f>E99-E98</f>
        <v/>
      </c>
    </row>
    <row r="100">
      <c r="A100" s="36" t="n">
        <v>99</v>
      </c>
      <c r="B100">
        <f>ROUND( $N$3*POWER(A100-1,$N$4), 0)</f>
        <v/>
      </c>
      <c r="C100">
        <f>ROUND($O$3*POWER(A100 -1,$O$4), 0)</f>
        <v/>
      </c>
      <c r="D100">
        <f>ROUND($P$3 * POWER(A100 - 1, $P$4), 0)</f>
        <v/>
      </c>
      <c r="E100">
        <f>ROUND($Q$3 * POWER(A100 - 1, $Q$4), 0)</f>
        <v/>
      </c>
      <c r="F100">
        <f>B100-B99</f>
        <v/>
      </c>
      <c r="G100">
        <f>C100-C99</f>
        <v/>
      </c>
      <c r="H100">
        <f>D100-D99</f>
        <v/>
      </c>
      <c r="I100">
        <f>E100-E99</f>
        <v/>
      </c>
    </row>
    <row r="101">
      <c r="A101" s="37" t="n">
        <v>100</v>
      </c>
      <c r="B101">
        <f>ROUND( $N$3*POWER(A101-1,$N$4), 0)</f>
        <v/>
      </c>
      <c r="C101">
        <f>ROUND($O$3*POWER(A101 -1,$O$4), 0)</f>
        <v/>
      </c>
      <c r="D101">
        <f>ROUND($P$3 * POWER(A101 - 1, $P$4), 0)</f>
        <v/>
      </c>
      <c r="E101">
        <f>ROUND($Q$3 * POWER(A101 - 1, $Q$4), 0)</f>
        <v/>
      </c>
      <c r="F101">
        <f>B101-B100</f>
        <v/>
      </c>
      <c r="G101">
        <f>C101-C100</f>
        <v/>
      </c>
      <c r="H101">
        <f>D101-D100</f>
        <v/>
      </c>
      <c r="I101">
        <f>E101-E100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"/>
  <sheetViews>
    <sheetView topLeftCell="A27" workbookViewId="0">
      <selection activeCell="F31" sqref="F31"/>
    </sheetView>
  </sheetViews>
  <sheetFormatPr baseColWidth="8" defaultRowHeight="15"/>
  <cols>
    <col width="21" bestFit="1" customWidth="1" style="35" min="1" max="1"/>
    <col width="15" bestFit="1" customWidth="1" style="35" min="3" max="3"/>
    <col width="17.7109375" bestFit="1" customWidth="1" style="35" min="4" max="5"/>
    <col width="17.42578125" bestFit="1" customWidth="1" style="35" min="6" max="6"/>
    <col width="12.28515625" bestFit="1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Required_Level</t>
        </is>
      </c>
      <c r="D1" s="16" t="inlineStr">
        <is>
          <t>Unlock_Max_Level</t>
        </is>
      </c>
      <c r="E1" s="16" t="inlineStr">
        <is>
          <t>Cost_Coin</t>
        </is>
      </c>
      <c r="F1" s="16" t="inlineStr">
        <is>
          <t>ItemID_01</t>
        </is>
      </c>
      <c r="G1" s="16" t="inlineStr">
        <is>
          <t>Item_01_Qty</t>
        </is>
      </c>
    </row>
    <row r="2">
      <c r="A2" t="inlineStr">
        <is>
          <t>ascension_r</t>
        </is>
      </c>
      <c r="B2" s="37" t="n">
        <v>1</v>
      </c>
      <c r="C2" s="37" t="n">
        <v>20</v>
      </c>
      <c r="D2" s="37" t="n">
        <v>40</v>
      </c>
      <c r="E2" s="37" t="n">
        <v>10000</v>
      </c>
      <c r="F2" t="inlineStr">
        <is>
          <t>Garnet_Gemstone</t>
        </is>
      </c>
      <c r="G2" s="37" t="n">
        <v>5</v>
      </c>
    </row>
    <row r="3">
      <c r="A3" t="inlineStr">
        <is>
          <t>ascension_r</t>
        </is>
      </c>
      <c r="B3" s="37" t="n">
        <v>2</v>
      </c>
      <c r="C3" s="37" t="n">
        <v>40</v>
      </c>
      <c r="D3" s="37" t="n">
        <v>60</v>
      </c>
      <c r="E3" s="37" t="n">
        <v>50000</v>
      </c>
      <c r="F3" t="inlineStr">
        <is>
          <t>Garnet_Gemstone</t>
        </is>
      </c>
      <c r="G3" s="37" t="n">
        <v>10</v>
      </c>
    </row>
    <row r="4">
      <c r="A4" t="inlineStr">
        <is>
          <t>ascension_r</t>
        </is>
      </c>
      <c r="B4" s="37" t="n">
        <v>3</v>
      </c>
      <c r="C4" s="37" t="n">
        <v>60</v>
      </c>
      <c r="D4" s="37" t="n">
        <v>80</v>
      </c>
      <c r="E4" s="37" t="n">
        <v>200000</v>
      </c>
      <c r="F4" t="inlineStr">
        <is>
          <t>Garnet_Gemstone</t>
        </is>
      </c>
      <c r="G4" s="37" t="n">
        <v>15</v>
      </c>
    </row>
    <row r="5">
      <c r="A5" t="inlineStr">
        <is>
          <t>ascension_r</t>
        </is>
      </c>
      <c r="B5" s="37" t="n">
        <v>4</v>
      </c>
      <c r="C5" s="37" t="n">
        <v>80</v>
      </c>
      <c r="D5" s="37" t="n">
        <v>100</v>
      </c>
      <c r="E5" s="37" t="n">
        <v>500000</v>
      </c>
      <c r="F5" t="inlineStr">
        <is>
          <t>Garnet_Gemstone</t>
        </is>
      </c>
      <c r="G5" s="37" t="n">
        <v>20</v>
      </c>
    </row>
    <row r="6">
      <c r="A6" t="inlineStr">
        <is>
          <t>ascension_r</t>
        </is>
      </c>
      <c r="B6" s="32" t="n">
        <v>5</v>
      </c>
      <c r="C6" s="32" t="n">
        <v>100</v>
      </c>
      <c r="D6" s="32" t="n">
        <v>100</v>
      </c>
      <c r="E6" s="32" t="n">
        <v>500000</v>
      </c>
      <c r="F6" s="33" t="inlineStr">
        <is>
          <t>Garnet_Gemstone</t>
        </is>
      </c>
      <c r="G6" s="32" t="n">
        <v>20</v>
      </c>
    </row>
    <row r="7">
      <c r="A7" s="10" t="inlineStr">
        <is>
          <t>ascension_sr</t>
        </is>
      </c>
      <c r="B7" s="37" t="n">
        <v>1</v>
      </c>
      <c r="C7" s="37" t="n">
        <v>20</v>
      </c>
      <c r="D7" s="37" t="n">
        <v>40</v>
      </c>
      <c r="E7" s="37" t="n">
        <v>10000</v>
      </c>
      <c r="F7" t="inlineStr">
        <is>
          <t>Garnet_Gemstone</t>
        </is>
      </c>
      <c r="G7" s="37" t="n">
        <v>5</v>
      </c>
    </row>
    <row r="8">
      <c r="A8" s="10" t="inlineStr">
        <is>
          <t>ascension_sr</t>
        </is>
      </c>
      <c r="B8" s="37" t="n">
        <v>2</v>
      </c>
      <c r="C8" s="37" t="n">
        <v>40</v>
      </c>
      <c r="D8" s="37" t="n">
        <v>60</v>
      </c>
      <c r="E8" s="37" t="n">
        <v>50000</v>
      </c>
      <c r="F8" t="inlineStr">
        <is>
          <t>Garnet_Gemstone</t>
        </is>
      </c>
      <c r="G8" s="37" t="n">
        <v>10</v>
      </c>
    </row>
    <row r="9">
      <c r="A9" s="10" t="inlineStr">
        <is>
          <t>ascension_sr</t>
        </is>
      </c>
      <c r="B9" s="37" t="n">
        <v>3</v>
      </c>
      <c r="C9" s="37" t="n">
        <v>60</v>
      </c>
      <c r="D9" s="37" t="n">
        <v>80</v>
      </c>
      <c r="E9" s="37" t="n">
        <v>200000</v>
      </c>
      <c r="F9" t="inlineStr">
        <is>
          <t>Garnet_Gemstone</t>
        </is>
      </c>
      <c r="G9" s="37" t="n">
        <v>15</v>
      </c>
    </row>
    <row r="10">
      <c r="A10" s="10" t="inlineStr">
        <is>
          <t>ascension_sr</t>
        </is>
      </c>
      <c r="B10" s="37" t="n">
        <v>4</v>
      </c>
      <c r="C10" s="37" t="n">
        <v>80</v>
      </c>
      <c r="D10" s="37" t="n">
        <v>100</v>
      </c>
      <c r="E10" s="37" t="n">
        <v>500000</v>
      </c>
      <c r="F10" t="inlineStr">
        <is>
          <t>Garnet_Gemstone</t>
        </is>
      </c>
      <c r="G10" s="37" t="n">
        <v>20</v>
      </c>
    </row>
    <row r="11">
      <c r="A11" s="10" t="inlineStr">
        <is>
          <t>ascension_sr</t>
        </is>
      </c>
      <c r="B11" s="32" t="n">
        <v>5</v>
      </c>
      <c r="C11" s="32" t="n">
        <v>100</v>
      </c>
      <c r="D11" s="32" t="n">
        <v>100</v>
      </c>
      <c r="E11" s="32" t="n">
        <v>500000</v>
      </c>
      <c r="F11" s="33" t="inlineStr">
        <is>
          <t>Garnet_Gemstone</t>
        </is>
      </c>
      <c r="G11" s="32" t="n">
        <v>20</v>
      </c>
    </row>
    <row r="12">
      <c r="A12" t="inlineStr">
        <is>
          <t>ascension_ssr</t>
        </is>
      </c>
      <c r="B12" s="37" t="n">
        <v>1</v>
      </c>
      <c r="C12" s="37" t="n">
        <v>20</v>
      </c>
      <c r="D12" s="37" t="n">
        <v>40</v>
      </c>
      <c r="E12" s="37" t="n">
        <v>10000</v>
      </c>
      <c r="F12" t="inlineStr">
        <is>
          <t>Garnet_Gemstone</t>
        </is>
      </c>
      <c r="G12" s="37" t="n">
        <v>5</v>
      </c>
    </row>
    <row r="13">
      <c r="A13" t="inlineStr">
        <is>
          <t>ascension_ssr</t>
        </is>
      </c>
      <c r="B13" s="37" t="n">
        <v>2</v>
      </c>
      <c r="C13" s="37" t="n">
        <v>40</v>
      </c>
      <c r="D13" s="37" t="n">
        <v>60</v>
      </c>
      <c r="E13" s="37" t="n">
        <v>50000</v>
      </c>
      <c r="F13" t="inlineStr">
        <is>
          <t>Garnet_Gemstone</t>
        </is>
      </c>
      <c r="G13" s="37" t="n">
        <v>10</v>
      </c>
    </row>
    <row r="14">
      <c r="A14" t="inlineStr">
        <is>
          <t>ascension_ssr</t>
        </is>
      </c>
      <c r="B14" s="37" t="n">
        <v>3</v>
      </c>
      <c r="C14" s="37" t="n">
        <v>60</v>
      </c>
      <c r="D14" s="37" t="n">
        <v>80</v>
      </c>
      <c r="E14" s="37" t="n">
        <v>200000</v>
      </c>
      <c r="F14" t="inlineStr">
        <is>
          <t>Garnet_Gemstone</t>
        </is>
      </c>
      <c r="G14" s="37" t="n">
        <v>15</v>
      </c>
    </row>
    <row r="15">
      <c r="A15" t="inlineStr">
        <is>
          <t>ascension_ssr</t>
        </is>
      </c>
      <c r="B15" s="37" t="n">
        <v>4</v>
      </c>
      <c r="C15" s="37" t="n">
        <v>80</v>
      </c>
      <c r="D15" s="37" t="n">
        <v>100</v>
      </c>
      <c r="E15" s="37" t="n">
        <v>500000</v>
      </c>
      <c r="F15" t="inlineStr">
        <is>
          <t>Garnet_Gemstone</t>
        </is>
      </c>
      <c r="G15" s="37" t="n">
        <v>20</v>
      </c>
    </row>
    <row r="16">
      <c r="A16" t="inlineStr">
        <is>
          <t>ascension_ssr</t>
        </is>
      </c>
      <c r="B16" s="32" t="n">
        <v>5</v>
      </c>
      <c r="C16" s="32" t="n">
        <v>100</v>
      </c>
      <c r="D16" s="32" t="n">
        <v>100</v>
      </c>
      <c r="E16" s="32" t="n">
        <v>500000</v>
      </c>
      <c r="F16" s="33" t="inlineStr">
        <is>
          <t>Garnet_Gemstone</t>
        </is>
      </c>
      <c r="G16" s="32" t="n">
        <v>20</v>
      </c>
    </row>
    <row r="17">
      <c r="A17" s="10" t="inlineStr">
        <is>
          <t>ascension_ur</t>
        </is>
      </c>
      <c r="B17" s="37" t="n">
        <v>1</v>
      </c>
      <c r="C17" s="37" t="n">
        <v>20</v>
      </c>
      <c r="D17" s="37" t="n">
        <v>40</v>
      </c>
      <c r="E17" s="37" t="n">
        <v>10000</v>
      </c>
      <c r="F17" t="inlineStr">
        <is>
          <t>Garnet_Gemstone</t>
        </is>
      </c>
      <c r="G17" s="37" t="n">
        <v>5</v>
      </c>
    </row>
    <row r="18">
      <c r="A18" s="10" t="inlineStr">
        <is>
          <t>ascension_ur</t>
        </is>
      </c>
      <c r="B18" s="37" t="n">
        <v>2</v>
      </c>
      <c r="C18" s="37" t="n">
        <v>40</v>
      </c>
      <c r="D18" s="37" t="n">
        <v>60</v>
      </c>
      <c r="E18" s="37" t="n">
        <v>50000</v>
      </c>
      <c r="F18" t="inlineStr">
        <is>
          <t>Garnet_Gemstone</t>
        </is>
      </c>
      <c r="G18" s="37" t="n">
        <v>10</v>
      </c>
    </row>
    <row r="19">
      <c r="A19" s="10" t="inlineStr">
        <is>
          <t>ascension_ur</t>
        </is>
      </c>
      <c r="B19" s="37" t="n">
        <v>3</v>
      </c>
      <c r="C19" s="37" t="n">
        <v>60</v>
      </c>
      <c r="D19" s="37" t="n">
        <v>80</v>
      </c>
      <c r="E19" s="37" t="n">
        <v>200000</v>
      </c>
      <c r="F19" t="inlineStr">
        <is>
          <t>Garnet_Gemstone</t>
        </is>
      </c>
      <c r="G19" s="37" t="n">
        <v>15</v>
      </c>
    </row>
    <row r="20">
      <c r="A20" s="10" t="inlineStr">
        <is>
          <t>ascension_ur</t>
        </is>
      </c>
      <c r="B20" s="37" t="n">
        <v>4</v>
      </c>
      <c r="C20" s="37" t="n">
        <v>80</v>
      </c>
      <c r="D20" s="37" t="n">
        <v>100</v>
      </c>
      <c r="E20" s="37" t="n">
        <v>500000</v>
      </c>
      <c r="F20" t="inlineStr">
        <is>
          <t>Garnet_Gemstone</t>
        </is>
      </c>
      <c r="G20" s="37" t="n">
        <v>20</v>
      </c>
    </row>
    <row r="21">
      <c r="A21" s="10" t="inlineStr">
        <is>
          <t>ascension_ur</t>
        </is>
      </c>
      <c r="B21" s="32" t="n">
        <v>5</v>
      </c>
      <c r="C21" s="32" t="n">
        <v>100</v>
      </c>
      <c r="D21" s="32" t="n">
        <v>100</v>
      </c>
      <c r="E21" s="32" t="n">
        <v>500000</v>
      </c>
      <c r="F21" s="33" t="inlineStr">
        <is>
          <t>Garnet_Gemstone</t>
        </is>
      </c>
      <c r="G21" s="32" t="n">
        <v>20</v>
      </c>
    </row>
    <row r="22">
      <c r="A22" t="inlineStr">
        <is>
          <t>ascension_common</t>
        </is>
      </c>
      <c r="B22" s="37" t="n">
        <v>1</v>
      </c>
      <c r="C22" s="37" t="n">
        <v>20</v>
      </c>
      <c r="D22" s="37" t="n">
        <v>40</v>
      </c>
      <c r="E22" s="37" t="n">
        <v>10000</v>
      </c>
      <c r="F22" t="inlineStr">
        <is>
          <t>Garnet_Gemstone</t>
        </is>
      </c>
      <c r="G22" s="37" t="n">
        <v>5</v>
      </c>
    </row>
    <row r="23">
      <c r="A23" t="inlineStr">
        <is>
          <t>ascension_common</t>
        </is>
      </c>
      <c r="B23" s="37" t="n">
        <v>2</v>
      </c>
      <c r="C23" s="37" t="n">
        <v>40</v>
      </c>
      <c r="D23" s="37" t="n">
        <v>60</v>
      </c>
      <c r="E23" s="37" t="n">
        <v>50000</v>
      </c>
      <c r="F23" t="inlineStr">
        <is>
          <t>Garnet_Gemstone</t>
        </is>
      </c>
      <c r="G23" s="37" t="n">
        <v>10</v>
      </c>
    </row>
    <row r="24">
      <c r="A24" t="inlineStr">
        <is>
          <t>ascension_common</t>
        </is>
      </c>
      <c r="B24" s="37" t="n">
        <v>3</v>
      </c>
      <c r="C24" s="37" t="n">
        <v>60</v>
      </c>
      <c r="D24" s="37" t="n">
        <v>80</v>
      </c>
      <c r="E24" s="37" t="n">
        <v>200000</v>
      </c>
      <c r="F24" t="inlineStr">
        <is>
          <t>Garnet_Gemstone</t>
        </is>
      </c>
      <c r="G24" s="37" t="n">
        <v>15</v>
      </c>
    </row>
    <row r="25">
      <c r="A25" t="inlineStr">
        <is>
          <t>ascension_common</t>
        </is>
      </c>
      <c r="B25" s="37" t="n">
        <v>4</v>
      </c>
      <c r="C25" s="37" t="n">
        <v>80</v>
      </c>
      <c r="D25" s="37" t="n">
        <v>100</v>
      </c>
      <c r="E25" s="37" t="n">
        <v>500000</v>
      </c>
      <c r="F25" t="inlineStr">
        <is>
          <t>Garnet_Gemstone</t>
        </is>
      </c>
      <c r="G25" s="37" t="n">
        <v>20</v>
      </c>
    </row>
    <row r="26">
      <c r="A26" t="inlineStr">
        <is>
          <t>ascension_common</t>
        </is>
      </c>
      <c r="B26" s="32" t="n">
        <v>5</v>
      </c>
      <c r="C26" s="32" t="n">
        <v>100</v>
      </c>
      <c r="D26" s="32" t="n">
        <v>100</v>
      </c>
      <c r="E26" s="32" t="n">
        <v>500000</v>
      </c>
      <c r="F26" s="33" t="inlineStr">
        <is>
          <t>Garnet_Gemstone</t>
        </is>
      </c>
      <c r="G26" s="32" t="n">
        <v>20</v>
      </c>
    </row>
    <row r="27">
      <c r="A27" s="10" t="inlineStr">
        <is>
          <t>ascension_uncommon</t>
        </is>
      </c>
      <c r="B27" s="37" t="n">
        <v>1</v>
      </c>
      <c r="C27" s="37" t="n">
        <v>20</v>
      </c>
      <c r="D27" s="37" t="n">
        <v>40</v>
      </c>
      <c r="E27" s="37" t="n">
        <v>10000</v>
      </c>
      <c r="F27" t="inlineStr">
        <is>
          <t>Garnet_Gemstone</t>
        </is>
      </c>
      <c r="G27" s="37" t="n">
        <v>5</v>
      </c>
    </row>
    <row r="28">
      <c r="A28" s="10" t="inlineStr">
        <is>
          <t>ascension_uncommon</t>
        </is>
      </c>
      <c r="B28" s="37" t="n">
        <v>2</v>
      </c>
      <c r="C28" s="37" t="n">
        <v>40</v>
      </c>
      <c r="D28" s="37" t="n">
        <v>60</v>
      </c>
      <c r="E28" s="37" t="n">
        <v>50000</v>
      </c>
      <c r="F28" t="inlineStr">
        <is>
          <t>Garnet_Gemstone</t>
        </is>
      </c>
      <c r="G28" s="37" t="n">
        <v>10</v>
      </c>
    </row>
    <row r="29">
      <c r="A29" s="10" t="inlineStr">
        <is>
          <t>ascension_uncommon</t>
        </is>
      </c>
      <c r="B29" s="37" t="n">
        <v>3</v>
      </c>
      <c r="C29" s="37" t="n">
        <v>60</v>
      </c>
      <c r="D29" s="37" t="n">
        <v>80</v>
      </c>
      <c r="E29" s="37" t="n">
        <v>200000</v>
      </c>
      <c r="F29" t="inlineStr">
        <is>
          <t>Garnet_Gemstone</t>
        </is>
      </c>
      <c r="G29" s="37" t="n">
        <v>15</v>
      </c>
    </row>
    <row r="30">
      <c r="A30" s="10" t="inlineStr">
        <is>
          <t>ascension_uncommon</t>
        </is>
      </c>
      <c r="B30" s="37" t="n">
        <v>4</v>
      </c>
      <c r="C30" s="37" t="n">
        <v>80</v>
      </c>
      <c r="D30" s="37" t="n">
        <v>100</v>
      </c>
      <c r="E30" s="37" t="n">
        <v>500000</v>
      </c>
      <c r="F30" t="inlineStr">
        <is>
          <t>Garnet_Gemstone</t>
        </is>
      </c>
      <c r="G30" s="37" t="n">
        <v>20</v>
      </c>
    </row>
    <row r="31">
      <c r="A31" s="10" t="inlineStr">
        <is>
          <t>ascension_uncommon</t>
        </is>
      </c>
      <c r="B31" s="32" t="n">
        <v>5</v>
      </c>
      <c r="C31" s="32" t="n">
        <v>100</v>
      </c>
      <c r="D31" s="32" t="n">
        <v>100</v>
      </c>
      <c r="E31" s="32" t="n">
        <v>500000</v>
      </c>
      <c r="F31" s="33" t="inlineStr">
        <is>
          <t>Garnet_Gemstone</t>
        </is>
      </c>
      <c r="G31" s="32" t="n">
        <v>20</v>
      </c>
    </row>
    <row r="32">
      <c r="A32" t="inlineStr">
        <is>
          <t>ascension_rare</t>
        </is>
      </c>
      <c r="B32" s="37" t="n">
        <v>1</v>
      </c>
      <c r="C32" s="37" t="n">
        <v>20</v>
      </c>
      <c r="D32" s="37" t="n">
        <v>40</v>
      </c>
      <c r="E32" s="37" t="n">
        <v>10000</v>
      </c>
      <c r="F32" t="inlineStr">
        <is>
          <t>Garnet_Gemstone</t>
        </is>
      </c>
      <c r="G32" s="37" t="n">
        <v>5</v>
      </c>
    </row>
    <row r="33">
      <c r="A33" t="inlineStr">
        <is>
          <t>ascension_rare</t>
        </is>
      </c>
      <c r="B33" s="37" t="n">
        <v>2</v>
      </c>
      <c r="C33" s="37" t="n">
        <v>40</v>
      </c>
      <c r="D33" s="37" t="n">
        <v>60</v>
      </c>
      <c r="E33" s="37" t="n">
        <v>50000</v>
      </c>
      <c r="F33" t="inlineStr">
        <is>
          <t>Garnet_Gemstone</t>
        </is>
      </c>
      <c r="G33" s="37" t="n">
        <v>10</v>
      </c>
    </row>
    <row r="34">
      <c r="A34" t="inlineStr">
        <is>
          <t>ascension_rare</t>
        </is>
      </c>
      <c r="B34" s="37" t="n">
        <v>3</v>
      </c>
      <c r="C34" s="37" t="n">
        <v>60</v>
      </c>
      <c r="D34" s="37" t="n">
        <v>80</v>
      </c>
      <c r="E34" s="37" t="n">
        <v>200000</v>
      </c>
      <c r="F34" t="inlineStr">
        <is>
          <t>Garnet_Gemstone</t>
        </is>
      </c>
      <c r="G34" s="37" t="n">
        <v>15</v>
      </c>
    </row>
    <row r="35">
      <c r="A35" t="inlineStr">
        <is>
          <t>ascension_rare</t>
        </is>
      </c>
      <c r="B35" s="37" t="n">
        <v>4</v>
      </c>
      <c r="C35" s="37" t="n">
        <v>80</v>
      </c>
      <c r="D35" s="37" t="n">
        <v>100</v>
      </c>
      <c r="E35" s="37" t="n">
        <v>500000</v>
      </c>
      <c r="F35" t="inlineStr">
        <is>
          <t>Garnet_Gemstone</t>
        </is>
      </c>
      <c r="G35" s="37" t="n">
        <v>20</v>
      </c>
    </row>
    <row r="36">
      <c r="A36" t="inlineStr">
        <is>
          <t>ascension_rare</t>
        </is>
      </c>
      <c r="B36" s="32" t="n">
        <v>5</v>
      </c>
      <c r="C36" s="32" t="n">
        <v>100</v>
      </c>
      <c r="D36" s="32" t="n">
        <v>100</v>
      </c>
      <c r="E36" s="32" t="n">
        <v>500000</v>
      </c>
      <c r="F36" s="33" t="inlineStr">
        <is>
          <t>Garnet_Gemstone</t>
        </is>
      </c>
      <c r="G36" s="32" t="n">
        <v>20</v>
      </c>
    </row>
    <row r="37">
      <c r="A37" s="10" t="inlineStr">
        <is>
          <t>ascension_legend</t>
        </is>
      </c>
      <c r="B37" s="37" t="n">
        <v>1</v>
      </c>
      <c r="C37" s="37" t="n">
        <v>20</v>
      </c>
      <c r="D37" s="37" t="n">
        <v>40</v>
      </c>
      <c r="E37" s="37" t="n">
        <v>10000</v>
      </c>
      <c r="F37" t="inlineStr">
        <is>
          <t>Garnet_Gemstone</t>
        </is>
      </c>
      <c r="G37" s="37" t="n">
        <v>5</v>
      </c>
    </row>
    <row r="38">
      <c r="A38" s="10" t="inlineStr">
        <is>
          <t>ascension_legend</t>
        </is>
      </c>
      <c r="B38" s="37" t="n">
        <v>2</v>
      </c>
      <c r="C38" s="37" t="n">
        <v>40</v>
      </c>
      <c r="D38" s="37" t="n">
        <v>60</v>
      </c>
      <c r="E38" s="37" t="n">
        <v>50000</v>
      </c>
      <c r="F38" t="inlineStr">
        <is>
          <t>Garnet_Gemstone</t>
        </is>
      </c>
      <c r="G38" s="37" t="n">
        <v>10</v>
      </c>
    </row>
    <row r="39">
      <c r="A39" s="10" t="inlineStr">
        <is>
          <t>ascension_legend</t>
        </is>
      </c>
      <c r="B39" s="37" t="n">
        <v>3</v>
      </c>
      <c r="C39" s="37" t="n">
        <v>60</v>
      </c>
      <c r="D39" s="37" t="n">
        <v>80</v>
      </c>
      <c r="E39" s="37" t="n">
        <v>200000</v>
      </c>
      <c r="F39" t="inlineStr">
        <is>
          <t>Garnet_Gemstone</t>
        </is>
      </c>
      <c r="G39" s="37" t="n">
        <v>15</v>
      </c>
    </row>
    <row r="40">
      <c r="A40" s="10" t="inlineStr">
        <is>
          <t>ascension_legend</t>
        </is>
      </c>
      <c r="B40" s="37" t="n">
        <v>4</v>
      </c>
      <c r="C40" s="37" t="n">
        <v>80</v>
      </c>
      <c r="D40" s="37" t="n">
        <v>100</v>
      </c>
      <c r="E40" s="37" t="n">
        <v>500000</v>
      </c>
      <c r="F40" t="inlineStr">
        <is>
          <t>Garnet_Gemstone</t>
        </is>
      </c>
      <c r="G40" s="37" t="n">
        <v>20</v>
      </c>
    </row>
    <row r="41">
      <c r="A41" s="10" t="inlineStr">
        <is>
          <t>ascension_legend</t>
        </is>
      </c>
      <c r="B41" s="32" t="n">
        <v>5</v>
      </c>
      <c r="C41" s="32" t="n">
        <v>100</v>
      </c>
      <c r="D41" s="32" t="n">
        <v>100</v>
      </c>
      <c r="E41" s="32" t="n">
        <v>500000</v>
      </c>
      <c r="F41" s="33" t="inlineStr">
        <is>
          <t>Garnet_Gemstone</t>
        </is>
      </c>
      <c r="G41" s="32" t="n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R7" sqref="R7"/>
    </sheetView>
  </sheetViews>
  <sheetFormatPr baseColWidth="8" defaultRowHeight="15"/>
  <cols>
    <col width="11.85546875" customWidth="1" style="35" min="1" max="1"/>
    <col width="15.28515625" customWidth="1" style="35" min="2" max="2"/>
    <col width="17.5703125" customWidth="1" style="35" min="3" max="3"/>
    <col width="19.5703125" customWidth="1" style="35" min="4" max="4"/>
    <col width="12.85546875" customWidth="1" style="35" min="5" max="5"/>
    <col width="17.85546875" customWidth="1" style="35" min="6" max="6"/>
    <col width="17.42578125" customWidth="1" style="35" min="7" max="7"/>
  </cols>
  <sheetData>
    <row r="1">
      <c r="A1" s="16" t="inlineStr">
        <is>
          <t>ID</t>
        </is>
      </c>
      <c r="B1" s="16" t="inlineStr">
        <is>
          <t>Tier</t>
        </is>
      </c>
      <c r="C1" s="16" t="inlineStr">
        <is>
          <t>Cost_Coin</t>
        </is>
      </c>
      <c r="D1" s="16" t="inlineStr">
        <is>
          <t>Quanlity</t>
        </is>
      </c>
    </row>
    <row r="2">
      <c r="A2" t="inlineStr">
        <is>
          <t>starup_r</t>
        </is>
      </c>
      <c r="B2" s="36" t="n">
        <v>1</v>
      </c>
      <c r="C2" t="n">
        <v>10000</v>
      </c>
      <c r="D2" t="n">
        <v>60</v>
      </c>
    </row>
    <row r="3">
      <c r="A3" t="inlineStr">
        <is>
          <t>starup_r</t>
        </is>
      </c>
      <c r="B3" s="36" t="n">
        <v>2</v>
      </c>
      <c r="C3" t="n">
        <v>20000</v>
      </c>
      <c r="D3" t="n">
        <v>120</v>
      </c>
    </row>
    <row r="4">
      <c r="A4" t="inlineStr">
        <is>
          <t>starup_r</t>
        </is>
      </c>
      <c r="B4" s="36" t="n">
        <v>3</v>
      </c>
      <c r="C4" t="n">
        <v>50000</v>
      </c>
      <c r="D4" t="n">
        <v>240</v>
      </c>
    </row>
    <row r="5">
      <c r="A5" t="inlineStr">
        <is>
          <t>starup_r</t>
        </is>
      </c>
      <c r="B5" s="36" t="n">
        <v>4</v>
      </c>
      <c r="C5" t="n">
        <v>100000</v>
      </c>
      <c r="D5" t="n">
        <v>420</v>
      </c>
    </row>
    <row r="6">
      <c r="A6" t="inlineStr">
        <is>
          <t>starup_r</t>
        </is>
      </c>
      <c r="B6" s="36" t="n">
        <v>5</v>
      </c>
      <c r="C6" t="n">
        <v>250000</v>
      </c>
      <c r="D6" t="n">
        <v>540</v>
      </c>
    </row>
    <row r="7">
      <c r="A7" t="inlineStr">
        <is>
          <t>starup_r</t>
        </is>
      </c>
      <c r="B7" s="36" t="n">
        <v>6</v>
      </c>
      <c r="C7" t="n">
        <v>500000</v>
      </c>
      <c r="D7" t="n">
        <v>600</v>
      </c>
    </row>
    <row r="8">
      <c r="A8" s="10" t="inlineStr">
        <is>
          <t>starup_sr</t>
        </is>
      </c>
      <c r="B8" s="36" t="n">
        <v>1</v>
      </c>
      <c r="C8" t="n">
        <v>10000</v>
      </c>
      <c r="D8" t="n">
        <v>60</v>
      </c>
    </row>
    <row r="9">
      <c r="A9" s="10" t="inlineStr">
        <is>
          <t>starup_sr</t>
        </is>
      </c>
      <c r="B9" s="36" t="n">
        <v>2</v>
      </c>
      <c r="C9" t="n">
        <v>20000</v>
      </c>
      <c r="D9" t="n">
        <v>120</v>
      </c>
    </row>
    <row r="10">
      <c r="A10" s="10" t="inlineStr">
        <is>
          <t>starup_sr</t>
        </is>
      </c>
      <c r="B10" s="36" t="n">
        <v>3</v>
      </c>
      <c r="C10" t="n">
        <v>50000</v>
      </c>
      <c r="D10" t="n">
        <v>240</v>
      </c>
    </row>
    <row r="11">
      <c r="A11" s="10" t="inlineStr">
        <is>
          <t>starup_sr</t>
        </is>
      </c>
      <c r="B11" s="36" t="n">
        <v>4</v>
      </c>
      <c r="C11" t="n">
        <v>100000</v>
      </c>
      <c r="D11" t="n">
        <v>360</v>
      </c>
    </row>
    <row r="12">
      <c r="A12" s="10" t="inlineStr">
        <is>
          <t>starup_sr</t>
        </is>
      </c>
      <c r="B12" s="36" t="n">
        <v>5</v>
      </c>
      <c r="C12" t="n">
        <v>250000</v>
      </c>
      <c r="D12" t="n">
        <v>420</v>
      </c>
    </row>
    <row r="13">
      <c r="A13" s="10" t="inlineStr">
        <is>
          <t>starup_sr</t>
        </is>
      </c>
      <c r="B13" s="36" t="n">
        <v>6</v>
      </c>
      <c r="C13" t="n">
        <v>500000</v>
      </c>
      <c r="D13" t="n">
        <v>480</v>
      </c>
    </row>
    <row r="14">
      <c r="A14" s="29" t="inlineStr">
        <is>
          <t>starup_ssr</t>
        </is>
      </c>
      <c r="B14" s="36" t="n">
        <v>1</v>
      </c>
      <c r="C14" t="n">
        <v>10000</v>
      </c>
      <c r="D14" t="n">
        <v>60</v>
      </c>
    </row>
    <row r="15">
      <c r="A15" s="29" t="inlineStr">
        <is>
          <t>starup_ssr</t>
        </is>
      </c>
      <c r="B15" s="36" t="n">
        <v>2</v>
      </c>
      <c r="C15" t="n">
        <v>20000</v>
      </c>
      <c r="D15" t="n">
        <v>120</v>
      </c>
    </row>
    <row r="16">
      <c r="A16" s="29" t="inlineStr">
        <is>
          <t>starup_ssr</t>
        </is>
      </c>
      <c r="B16" s="36" t="n">
        <v>3</v>
      </c>
      <c r="C16" t="n">
        <v>50000</v>
      </c>
      <c r="D16" t="n">
        <v>240</v>
      </c>
    </row>
    <row r="17">
      <c r="A17" s="29" t="inlineStr">
        <is>
          <t>starup_ssr</t>
        </is>
      </c>
      <c r="B17" s="36" t="n">
        <v>4</v>
      </c>
      <c r="C17" t="n">
        <v>100000</v>
      </c>
      <c r="D17" t="n">
        <v>300</v>
      </c>
    </row>
    <row r="18">
      <c r="A18" s="29" t="inlineStr">
        <is>
          <t>starup_ssr</t>
        </is>
      </c>
      <c r="B18" s="36" t="n">
        <v>5</v>
      </c>
      <c r="C18" t="n">
        <v>250000</v>
      </c>
      <c r="D18" t="n">
        <v>360</v>
      </c>
    </row>
    <row r="19">
      <c r="A19" s="29" t="inlineStr">
        <is>
          <t>starup_ssr</t>
        </is>
      </c>
      <c r="B19" s="36" t="n">
        <v>6</v>
      </c>
      <c r="C19" t="n">
        <v>500000</v>
      </c>
      <c r="D19" t="n">
        <v>420</v>
      </c>
    </row>
    <row r="20">
      <c r="A20" s="10" t="inlineStr">
        <is>
          <t>starup_ur</t>
        </is>
      </c>
      <c r="B20" s="36" t="n">
        <v>1</v>
      </c>
      <c r="C20" t="n">
        <v>10000</v>
      </c>
      <c r="D20" t="n">
        <v>60</v>
      </c>
    </row>
    <row r="21">
      <c r="A21" s="10" t="inlineStr">
        <is>
          <t>starup_ur</t>
        </is>
      </c>
      <c r="B21" s="36" t="n">
        <v>2</v>
      </c>
      <c r="C21" t="n">
        <v>20000</v>
      </c>
      <c r="D21" t="n">
        <v>120</v>
      </c>
    </row>
    <row r="22">
      <c r="A22" s="10" t="inlineStr">
        <is>
          <t>starup_ur</t>
        </is>
      </c>
      <c r="B22" s="36" t="n">
        <v>3</v>
      </c>
      <c r="C22" t="n">
        <v>50000</v>
      </c>
      <c r="D22" t="n">
        <v>180</v>
      </c>
    </row>
    <row r="23">
      <c r="A23" s="10" t="inlineStr">
        <is>
          <t>starup_ur</t>
        </is>
      </c>
      <c r="B23" s="36" t="n">
        <v>4</v>
      </c>
      <c r="C23" t="n">
        <v>100000</v>
      </c>
      <c r="D23" t="n">
        <v>240</v>
      </c>
    </row>
    <row r="24">
      <c r="A24" s="10" t="inlineStr">
        <is>
          <t>starup_ur</t>
        </is>
      </c>
      <c r="B24" s="36" t="n">
        <v>5</v>
      </c>
      <c r="C24" t="n">
        <v>250000</v>
      </c>
      <c r="D24" t="n">
        <v>300</v>
      </c>
    </row>
    <row r="25">
      <c r="A25" s="10" t="inlineStr">
        <is>
          <t>starup_ur</t>
        </is>
      </c>
      <c r="B25" s="36" t="n">
        <v>6</v>
      </c>
      <c r="C25" t="n">
        <v>500000</v>
      </c>
      <c r="D25" t="n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6" sqref="A6"/>
    </sheetView>
  </sheetViews>
  <sheetFormatPr baseColWidth="8" defaultRowHeight="15"/>
  <cols>
    <col width="26" bestFit="1" customWidth="1" style="35" min="1" max="1"/>
    <col width="36.140625" bestFit="1" customWidth="1" style="35" min="2" max="2"/>
    <col width="39.28515625" bestFit="1" customWidth="1" style="35" min="3" max="3"/>
    <col width="21.28515625" customWidth="1" style="35" min="4" max="4"/>
    <col width="15.5703125" customWidth="1" style="35" min="5" max="5"/>
    <col width="10.85546875" customWidth="1" style="35" min="6" max="6"/>
  </cols>
  <sheetData>
    <row r="1">
      <c r="A1" s="16" t="inlineStr">
        <is>
          <t>ID</t>
        </is>
      </c>
      <c r="B1" s="16" t="inlineStr">
        <is>
          <t>Name</t>
        </is>
      </c>
      <c r="C1" s="16" t="inlineStr">
        <is>
          <t>Des</t>
        </is>
      </c>
      <c r="D1" s="16" t="inlineStr">
        <is>
          <t>BackGround</t>
        </is>
      </c>
      <c r="E1" s="16" t="inlineStr">
        <is>
          <t>Reward</t>
        </is>
      </c>
      <c r="F1" s="16" t="inlineStr">
        <is>
          <t>ExpReward</t>
        </is>
      </c>
    </row>
    <row r="2">
      <c r="A2" s="39" t="inlineStr">
        <is>
          <t>Tutorial_Default</t>
        </is>
      </c>
      <c r="B2" t="inlineStr">
        <is>
          <t>STR_BATTLE_TUTORIAL</t>
        </is>
      </c>
      <c r="C2" t="inlineStr">
        <is>
          <t>STR_BATTLE_TUTORIAL_DES</t>
        </is>
      </c>
      <c r="D2" s="36" t="inlineStr">
        <is>
          <t>Default</t>
        </is>
      </c>
      <c r="E2" s="36" t="inlineStr">
        <is>
          <t>Default_01</t>
        </is>
      </c>
      <c r="F2" s="36" t="n">
        <v>600</v>
      </c>
    </row>
    <row r="3">
      <c r="A3" s="39" t="inlineStr">
        <is>
          <t>Battle_ThirdDragonPrince</t>
        </is>
      </c>
      <c r="B3" t="inlineStr">
        <is>
          <t>STR_BATTLE_THIRD_DRAGON_PRINCE</t>
        </is>
      </c>
      <c r="C3" t="inlineStr">
        <is>
          <t>STR_BATTLE_THIRD_DRAGON_PRINCE_DES</t>
        </is>
      </c>
      <c r="D3" s="36" t="inlineStr">
        <is>
          <t>Default</t>
        </is>
      </c>
      <c r="E3" s="36" t="inlineStr">
        <is>
          <t>Default_01</t>
        </is>
      </c>
      <c r="F3" s="36" t="n">
        <v>600</v>
      </c>
    </row>
    <row r="4">
      <c r="A4" s="39" t="inlineStr">
        <is>
          <t>Battle_GoldfishDemon</t>
        </is>
      </c>
      <c r="B4" t="inlineStr">
        <is>
          <t>STR_BATTLE_GOLD_FISH_DEMON</t>
        </is>
      </c>
      <c r="C4" t="inlineStr">
        <is>
          <t>STR_BATTLE_GOLD_FISH_DEMON_DES</t>
        </is>
      </c>
      <c r="D4" s="36" t="inlineStr">
        <is>
          <t>Default</t>
        </is>
      </c>
      <c r="E4" s="36" t="inlineStr">
        <is>
          <t>Default_01</t>
        </is>
      </c>
      <c r="F4" s="36" t="n">
        <v>600</v>
      </c>
    </row>
    <row r="5">
      <c r="A5" s="39" t="inlineStr">
        <is>
          <t>Battle_TheBoySage</t>
        </is>
      </c>
      <c r="B5" t="inlineStr">
        <is>
          <t>STR_BATTLE_THE_BOY_SAGE</t>
        </is>
      </c>
      <c r="C5" t="inlineStr">
        <is>
          <t>STR_BATTLE_THE_BOY_SAGE_DES</t>
        </is>
      </c>
      <c r="D5" s="36" t="inlineStr">
        <is>
          <t>Default</t>
        </is>
      </c>
      <c r="E5" s="36" t="inlineStr">
        <is>
          <t>Default_01</t>
        </is>
      </c>
      <c r="F5" s="36" t="n">
        <v>600</v>
      </c>
    </row>
    <row r="6">
      <c r="A6" s="39" t="inlineStr">
        <is>
          <t>Battle_BullDemonKing</t>
        </is>
      </c>
      <c r="B6" t="inlineStr">
        <is>
          <t>STR_BATTLE_BULL_DEMON_KING</t>
        </is>
      </c>
      <c r="C6" t="inlineStr">
        <is>
          <t>STR_BATTLE_BULL_DEMON_KING_DES</t>
        </is>
      </c>
      <c r="D6" s="36" t="inlineStr">
        <is>
          <t>Default</t>
        </is>
      </c>
      <c r="E6" s="36" t="inlineStr">
        <is>
          <t>Default_01</t>
        </is>
      </c>
      <c r="F6" s="36" t="n">
        <v>600</v>
      </c>
    </row>
    <row r="7">
      <c r="A7" s="39" t="inlineStr">
        <is>
          <t>Battle_YellowWindMonster</t>
        </is>
      </c>
      <c r="B7" t="inlineStr">
        <is>
          <t>STR_BATTLE_YELLOW_WIND_MONSTER</t>
        </is>
      </c>
      <c r="C7" t="inlineStr">
        <is>
          <t>STR_BATTLE_YELLOW_WIND_MONSTER_DES</t>
        </is>
      </c>
      <c r="D7" s="36" t="inlineStr">
        <is>
          <t>Default</t>
        </is>
      </c>
      <c r="E7" s="36" t="inlineStr">
        <is>
          <t>Default_01</t>
        </is>
      </c>
      <c r="F7" s="36" t="n">
        <v>600</v>
      </c>
    </row>
    <row r="8">
      <c r="A8" s="39" t="inlineStr">
        <is>
          <t>Battle_GoldHornKing</t>
        </is>
      </c>
      <c r="B8" t="inlineStr">
        <is>
          <t>STR_BATTLE_GOLD_HORN_KING</t>
        </is>
      </c>
      <c r="C8" t="inlineStr">
        <is>
          <t>STR_BATTLE_GOLD_HORN_KING_DES</t>
        </is>
      </c>
      <c r="D8" s="36" t="inlineStr">
        <is>
          <t>Default</t>
        </is>
      </c>
      <c r="E8" s="36" t="inlineStr">
        <is>
          <t>Default_01</t>
        </is>
      </c>
      <c r="F8" s="36" t="n">
        <v>600</v>
      </c>
    </row>
    <row r="9">
      <c r="A9" s="39" t="inlineStr">
        <is>
          <t>Battle_LiJing_Boss</t>
        </is>
      </c>
      <c r="B9" t="inlineStr">
        <is>
          <t>STR_BATTLE_LI_JING_BOSS</t>
        </is>
      </c>
      <c r="C9" t="inlineStr">
        <is>
          <t>STR_BATTLE_LI_JING_BOSS_DES</t>
        </is>
      </c>
      <c r="D9" s="36" t="inlineStr">
        <is>
          <t>Default</t>
        </is>
      </c>
      <c r="E9" s="36" t="inlineStr">
        <is>
          <t>Default_01</t>
        </is>
      </c>
      <c r="F9" s="36" t="n">
        <v>600</v>
      </c>
    </row>
    <row r="10">
      <c r="A10" s="39" t="inlineStr">
        <is>
          <t>Battle_ErlangShen_Boss</t>
        </is>
      </c>
      <c r="B10" t="inlineStr">
        <is>
          <t>STR_BATTLE_ERLANG_SHEN_BOSS</t>
        </is>
      </c>
      <c r="C10" t="inlineStr">
        <is>
          <t>STR_BATTLE_ERLANG_SHEN_BOSS_DES</t>
        </is>
      </c>
      <c r="D10" s="36" t="inlineStr">
        <is>
          <t>Default</t>
        </is>
      </c>
      <c r="E10" s="36" t="inlineStr">
        <is>
          <t>Default_01</t>
        </is>
      </c>
      <c r="F10" s="36" t="n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1"/>
  <sheetViews>
    <sheetView topLeftCell="A17" zoomScale="160" zoomScaleNormal="160" workbookViewId="0">
      <selection activeCell="D20" sqref="D20"/>
    </sheetView>
  </sheetViews>
  <sheetFormatPr baseColWidth="8" defaultRowHeight="15"/>
  <cols>
    <col width="26" bestFit="1" customWidth="1" style="35" min="1" max="1"/>
    <col width="13" customWidth="1" style="35" min="2" max="2"/>
    <col width="22.140625" bestFit="1" customWidth="1" style="35" min="3" max="3"/>
  </cols>
  <sheetData>
    <row r="1">
      <c r="A1" s="16" t="inlineStr">
        <is>
          <t>BattleID</t>
        </is>
      </c>
      <c r="B1" s="16" t="inlineStr">
        <is>
          <t>Slot</t>
        </is>
      </c>
      <c r="C1" s="16" t="inlineStr">
        <is>
          <t>Enemy_ID</t>
        </is>
      </c>
      <c r="D1" s="16" t="inlineStr">
        <is>
          <t>Level</t>
        </is>
      </c>
      <c r="E1" s="16" t="inlineStr">
        <is>
          <t>Boss</t>
        </is>
      </c>
    </row>
    <row r="2">
      <c r="A2" s="2" t="inlineStr">
        <is>
          <t>Tutorial_Default</t>
        </is>
      </c>
      <c r="B2" s="36" t="n">
        <v>1</v>
      </c>
      <c r="C2" s="22" t="inlineStr">
        <is>
          <t xml:space="preserve">VanguardTiger </t>
        </is>
      </c>
      <c r="D2" s="36" t="n">
        <v>5</v>
      </c>
      <c r="E2" t="b">
        <v>0</v>
      </c>
    </row>
    <row r="3">
      <c r="A3" s="2" t="inlineStr">
        <is>
          <t>Tutorial_Default</t>
        </is>
      </c>
      <c r="B3" s="36" t="n">
        <v>2</v>
      </c>
      <c r="C3" s="22" t="inlineStr">
        <is>
          <t xml:space="preserve">VanguardTiger </t>
        </is>
      </c>
      <c r="D3" s="36" t="n">
        <v>5</v>
      </c>
      <c r="E3" t="b">
        <v>0</v>
      </c>
    </row>
    <row r="4">
      <c r="A4" s="2" t="inlineStr">
        <is>
          <t>Tutorial_Default</t>
        </is>
      </c>
      <c r="B4" s="36" t="n">
        <v>3</v>
      </c>
      <c r="C4" s="22" t="inlineStr">
        <is>
          <t xml:space="preserve">VanguardTiger </t>
        </is>
      </c>
      <c r="D4" s="36" t="n">
        <v>5</v>
      </c>
      <c r="E4" t="b">
        <v>0</v>
      </c>
    </row>
    <row r="5">
      <c r="A5" s="36" t="inlineStr">
        <is>
          <t>Battle_GoldfishDemon</t>
        </is>
      </c>
      <c r="B5" s="36" t="n">
        <v>1</v>
      </c>
      <c r="C5" s="22" t="inlineStr">
        <is>
          <t>Benborba</t>
        </is>
      </c>
      <c r="D5" s="36" t="n">
        <v>15</v>
      </c>
      <c r="E5" t="b">
        <v>0</v>
      </c>
    </row>
    <row r="6">
      <c r="A6" s="36" t="inlineStr">
        <is>
          <t>Battle_GoldfishDemon</t>
        </is>
      </c>
      <c r="B6" s="36" t="n">
        <v>2</v>
      </c>
      <c r="C6" s="22" t="inlineStr">
        <is>
          <t>Baborben</t>
        </is>
      </c>
      <c r="D6" s="36" t="n">
        <v>15</v>
      </c>
      <c r="E6" t="b">
        <v>0</v>
      </c>
    </row>
    <row r="7">
      <c r="A7" s="36" t="inlineStr">
        <is>
          <t>Battle_GoldfishDemon</t>
        </is>
      </c>
      <c r="B7" s="36" t="n">
        <v>3</v>
      </c>
      <c r="C7" s="22" t="inlineStr">
        <is>
          <t>Benborba</t>
        </is>
      </c>
      <c r="D7" s="36" t="n">
        <v>15</v>
      </c>
      <c r="E7" t="b">
        <v>0</v>
      </c>
    </row>
    <row r="8">
      <c r="A8" s="36" t="inlineStr">
        <is>
          <t>Battle_GoldfishDemon</t>
        </is>
      </c>
      <c r="B8" s="36" t="n">
        <v>5</v>
      </c>
      <c r="C8" s="21" t="inlineStr">
        <is>
          <t>GoldfishDemon</t>
        </is>
      </c>
      <c r="D8" s="36" t="n">
        <v>10</v>
      </c>
      <c r="E8" t="b">
        <v>1</v>
      </c>
    </row>
    <row r="9">
      <c r="A9" s="2" t="inlineStr">
        <is>
          <t>Battle_ThirdDragonPrince</t>
        </is>
      </c>
      <c r="B9" s="36" t="n">
        <v>1</v>
      </c>
      <c r="C9" s="22" t="inlineStr">
        <is>
          <t>CrabSolider</t>
        </is>
      </c>
      <c r="D9" s="36" t="n">
        <v>15</v>
      </c>
      <c r="E9" t="b">
        <v>0</v>
      </c>
    </row>
    <row r="10">
      <c r="A10" s="2" t="inlineStr">
        <is>
          <t>Battle_ThirdDragonPrince</t>
        </is>
      </c>
      <c r="B10" s="36" t="n">
        <v>2</v>
      </c>
      <c r="C10" s="22" t="inlineStr">
        <is>
          <t>SquidSolider</t>
        </is>
      </c>
      <c r="D10" s="36" t="n">
        <v>15</v>
      </c>
      <c r="E10" t="b">
        <v>0</v>
      </c>
    </row>
    <row r="11">
      <c r="A11" s="2" t="inlineStr">
        <is>
          <t>Battle_ThirdDragonPrince</t>
        </is>
      </c>
      <c r="B11" s="36" t="n">
        <v>3</v>
      </c>
      <c r="C11" s="22" t="inlineStr">
        <is>
          <t>CrabSolider</t>
        </is>
      </c>
      <c r="D11" s="36" t="n">
        <v>15</v>
      </c>
      <c r="E11" t="b">
        <v>0</v>
      </c>
    </row>
    <row r="12">
      <c r="A12" s="2" t="inlineStr">
        <is>
          <t>Battle_ThirdDragonPrince</t>
        </is>
      </c>
      <c r="B12" s="36" t="n">
        <v>5</v>
      </c>
      <c r="C12" s="21" t="inlineStr">
        <is>
          <t>ThirdDragonPrince</t>
        </is>
      </c>
      <c r="D12" s="36" t="n">
        <v>20</v>
      </c>
      <c r="E12" t="b">
        <v>1</v>
      </c>
    </row>
    <row r="13">
      <c r="A13" s="36" t="inlineStr">
        <is>
          <t>Battle_TheBoySage</t>
        </is>
      </c>
      <c r="B13" s="36" t="n">
        <v>1</v>
      </c>
      <c r="C13" s="22" t="inlineStr">
        <is>
          <t>YoungBufflalo</t>
        </is>
      </c>
      <c r="D13" s="36" t="n">
        <v>15</v>
      </c>
      <c r="E13" t="b">
        <v>0</v>
      </c>
    </row>
    <row r="14">
      <c r="A14" s="36" t="inlineStr">
        <is>
          <t>Battle_TheBoySage</t>
        </is>
      </c>
      <c r="B14" s="36" t="n">
        <v>2</v>
      </c>
      <c r="C14" s="22" t="inlineStr">
        <is>
          <t>YoungBufflalo</t>
        </is>
      </c>
      <c r="D14" s="36" t="n">
        <v>15</v>
      </c>
      <c r="E14" t="b">
        <v>0</v>
      </c>
    </row>
    <row r="15">
      <c r="A15" s="36" t="inlineStr">
        <is>
          <t>Battle_TheBoySage</t>
        </is>
      </c>
      <c r="B15" s="36" t="n">
        <v>3</v>
      </c>
      <c r="C15" s="22" t="inlineStr">
        <is>
          <t>YoungBufflalo</t>
        </is>
      </c>
      <c r="D15" s="36" t="n">
        <v>15</v>
      </c>
      <c r="E15" t="b">
        <v>0</v>
      </c>
    </row>
    <row r="16">
      <c r="A16" s="36" t="inlineStr">
        <is>
          <t>Battle_TheBoySage</t>
        </is>
      </c>
      <c r="B16" s="36" t="n">
        <v>5</v>
      </c>
      <c r="C16" s="21" t="inlineStr">
        <is>
          <t>TheBoySage</t>
        </is>
      </c>
      <c r="D16" s="36" t="n">
        <v>25</v>
      </c>
      <c r="E16" t="b">
        <v>1</v>
      </c>
    </row>
    <row r="17">
      <c r="A17" s="2" t="inlineStr">
        <is>
          <t>Battle_BullDemonKing</t>
        </is>
      </c>
      <c r="B17" s="36" t="n">
        <v>1</v>
      </c>
      <c r="C17" s="22" t="inlineStr">
        <is>
          <t>YoungBufflalo</t>
        </is>
      </c>
      <c r="D17" s="36" t="n">
        <v>20</v>
      </c>
      <c r="E17" t="b">
        <v>0</v>
      </c>
    </row>
    <row r="18">
      <c r="A18" s="2" t="inlineStr">
        <is>
          <t>Battle_BullDemonKing</t>
        </is>
      </c>
      <c r="B18" s="36" t="n">
        <v>2</v>
      </c>
      <c r="C18" s="21" t="inlineStr">
        <is>
          <t>BullDemonKing_Boss</t>
        </is>
      </c>
      <c r="D18" s="36" t="n">
        <v>30</v>
      </c>
      <c r="E18" t="b">
        <v>1</v>
      </c>
    </row>
    <row r="19">
      <c r="A19" s="2" t="inlineStr">
        <is>
          <t>Battle_BullDemonKing</t>
        </is>
      </c>
      <c r="B19" s="36" t="n">
        <v>3</v>
      </c>
      <c r="C19" s="22" t="inlineStr">
        <is>
          <t>YoungBufflalo</t>
        </is>
      </c>
      <c r="D19" s="36" t="n">
        <v>20</v>
      </c>
      <c r="E19" t="b">
        <v>0</v>
      </c>
    </row>
    <row r="20">
      <c r="A20" s="2" t="inlineStr">
        <is>
          <t>Battle_BullDemonKing</t>
        </is>
      </c>
      <c r="B20" s="36" t="n">
        <v>5</v>
      </c>
      <c r="C20" s="10" t="inlineStr">
        <is>
          <t>TheBoySage</t>
        </is>
      </c>
      <c r="D20" s="36" t="n">
        <v>30</v>
      </c>
      <c r="E20" t="b">
        <v>0</v>
      </c>
    </row>
    <row r="21">
      <c r="A21" s="2" t="inlineStr">
        <is>
          <t>Battle_BullDemonKing</t>
        </is>
      </c>
      <c r="B21" s="36" t="n">
        <v>4</v>
      </c>
      <c r="C21" s="22" t="inlineStr">
        <is>
          <t>YoungBufflalo</t>
        </is>
      </c>
      <c r="D21" s="36" t="n">
        <v>25</v>
      </c>
      <c r="E21" t="b">
        <v>0</v>
      </c>
    </row>
    <row r="22">
      <c r="A22" s="2" t="inlineStr">
        <is>
          <t>Battle_BullDemonKing</t>
        </is>
      </c>
      <c r="B22" s="36" t="n">
        <v>6</v>
      </c>
      <c r="C22" s="22" t="inlineStr">
        <is>
          <t>YoungBufflalo</t>
        </is>
      </c>
      <c r="D22" s="36" t="n">
        <v>20</v>
      </c>
      <c r="E22" t="b">
        <v>0</v>
      </c>
    </row>
    <row r="23">
      <c r="A23" s="36" t="inlineStr">
        <is>
          <t>Battle_YellowWindMonster</t>
        </is>
      </c>
      <c r="B23" s="36" t="n">
        <v>1</v>
      </c>
      <c r="C23" s="22" t="inlineStr">
        <is>
          <t xml:space="preserve">VanguardTiger </t>
        </is>
      </c>
      <c r="D23" s="36" t="n">
        <v>15</v>
      </c>
      <c r="E23" t="b">
        <v>0</v>
      </c>
    </row>
    <row r="24">
      <c r="A24" s="36" t="inlineStr">
        <is>
          <t>Battle_YellowWindMonster</t>
        </is>
      </c>
      <c r="B24" s="36" t="n">
        <v>2</v>
      </c>
      <c r="C24" s="22" t="inlineStr">
        <is>
          <t>RatMonster</t>
        </is>
      </c>
      <c r="D24" s="36" t="n">
        <v>15</v>
      </c>
      <c r="E24" t="b">
        <v>0</v>
      </c>
    </row>
    <row r="25">
      <c r="A25" s="36" t="inlineStr">
        <is>
          <t>Battle_YellowWindMonster</t>
        </is>
      </c>
      <c r="B25" s="36" t="n">
        <v>3</v>
      </c>
      <c r="C25" s="22" t="inlineStr">
        <is>
          <t xml:space="preserve">VanguardTiger </t>
        </is>
      </c>
      <c r="D25" s="36" t="n">
        <v>15</v>
      </c>
      <c r="E25" t="b">
        <v>0</v>
      </c>
    </row>
    <row r="26">
      <c r="A26" s="36" t="inlineStr">
        <is>
          <t>Battle_YellowWindMonster</t>
        </is>
      </c>
      <c r="B26" s="36" t="n">
        <v>5</v>
      </c>
      <c r="C26" s="21" t="inlineStr">
        <is>
          <t>YellowWindMonster</t>
        </is>
      </c>
      <c r="D26" s="36" t="n">
        <v>20</v>
      </c>
      <c r="E26" t="b">
        <v>1</v>
      </c>
    </row>
    <row r="27">
      <c r="A27" s="2" t="inlineStr">
        <is>
          <t>Battle_GoldHornKing</t>
        </is>
      </c>
      <c r="B27" s="36" t="n">
        <v>1</v>
      </c>
      <c r="C27" s="22" t="inlineStr">
        <is>
          <t>Minions</t>
        </is>
      </c>
      <c r="D27" s="36" t="n">
        <v>20</v>
      </c>
      <c r="E27" t="b">
        <v>0</v>
      </c>
    </row>
    <row r="28">
      <c r="A28" s="2" t="inlineStr">
        <is>
          <t>Battle_GoldHornKing</t>
        </is>
      </c>
      <c r="B28" s="36" t="n">
        <v>2</v>
      </c>
      <c r="C28" s="22" t="inlineStr">
        <is>
          <t>Minions</t>
        </is>
      </c>
      <c r="D28" s="36" t="n">
        <v>20</v>
      </c>
      <c r="E28" t="b">
        <v>0</v>
      </c>
    </row>
    <row r="29">
      <c r="A29" s="2" t="inlineStr">
        <is>
          <t>Battle_GoldHornKing</t>
        </is>
      </c>
      <c r="B29" s="36" t="n">
        <v>3</v>
      </c>
      <c r="C29" s="22" t="inlineStr">
        <is>
          <t>Minions</t>
        </is>
      </c>
      <c r="D29" s="36" t="n">
        <v>20</v>
      </c>
      <c r="E29" t="b">
        <v>0</v>
      </c>
    </row>
    <row r="30">
      <c r="A30" s="2" t="inlineStr">
        <is>
          <t>Battle_GoldHornKing</t>
        </is>
      </c>
      <c r="B30" s="36" t="n">
        <v>5</v>
      </c>
      <c r="C30" s="21" t="inlineStr">
        <is>
          <t>GoldHornKing</t>
        </is>
      </c>
      <c r="D30" s="36" t="n">
        <v>25</v>
      </c>
      <c r="E30" t="b">
        <v>1</v>
      </c>
    </row>
    <row r="31">
      <c r="A31" s="2" t="inlineStr">
        <is>
          <t>Battle_GoldHornKing</t>
        </is>
      </c>
      <c r="B31" s="36" t="n">
        <v>4</v>
      </c>
      <c r="C31" s="22" t="inlineStr">
        <is>
          <t>SilverHornKing</t>
        </is>
      </c>
      <c r="D31" s="36" t="n">
        <v>20</v>
      </c>
      <c r="E31" t="b">
        <v>0</v>
      </c>
    </row>
    <row r="32">
      <c r="A32" s="36" t="inlineStr">
        <is>
          <t>Battle_LiJing_Boss</t>
        </is>
      </c>
      <c r="B32" s="36" t="n">
        <v>1</v>
      </c>
      <c r="C32" s="10" t="inlineStr">
        <is>
          <t>MarshalTianpeng</t>
        </is>
      </c>
      <c r="D32" s="36" t="n">
        <v>20</v>
      </c>
      <c r="E32" t="b">
        <v>0</v>
      </c>
    </row>
    <row r="33">
      <c r="A33" s="36" t="inlineStr">
        <is>
          <t>Battle_LiJing_Boss</t>
        </is>
      </c>
      <c r="B33" s="36" t="n">
        <v>2</v>
      </c>
      <c r="C33" s="21" t="inlineStr">
        <is>
          <t>LiJing_Boss</t>
        </is>
      </c>
      <c r="D33" s="36" t="n">
        <v>25</v>
      </c>
      <c r="E33" t="b">
        <v>1</v>
      </c>
    </row>
    <row r="34">
      <c r="A34" s="36" t="inlineStr">
        <is>
          <t>Battle_LiJing_Boss</t>
        </is>
      </c>
      <c r="B34" s="36" t="n">
        <v>3</v>
      </c>
      <c r="C34" s="22" t="inlineStr">
        <is>
          <t>HeavenlySoddier</t>
        </is>
      </c>
      <c r="D34" s="36" t="n">
        <v>20</v>
      </c>
      <c r="E34" t="b">
        <v>0</v>
      </c>
    </row>
    <row r="35">
      <c r="A35" s="36" t="inlineStr">
        <is>
          <t>Battle_LiJing_Boss</t>
        </is>
      </c>
      <c r="B35" s="36" t="n">
        <v>4</v>
      </c>
      <c r="C35" s="22" t="inlineStr">
        <is>
          <t>HeavenlySoddier</t>
        </is>
      </c>
      <c r="D35" s="36" t="n">
        <v>20</v>
      </c>
      <c r="E35" t="b">
        <v>0</v>
      </c>
    </row>
    <row r="36">
      <c r="A36" s="36" t="inlineStr">
        <is>
          <t>Battle_LiJing_Boss</t>
        </is>
      </c>
      <c r="B36" s="36" t="n">
        <v>5</v>
      </c>
      <c r="C36" s="10" t="inlineStr">
        <is>
          <t>ThirdPrinceNezha_Boss</t>
        </is>
      </c>
      <c r="D36" s="36" t="n">
        <v>20</v>
      </c>
      <c r="E36" t="b">
        <v>0</v>
      </c>
    </row>
    <row r="37">
      <c r="A37" s="36" t="inlineStr">
        <is>
          <t>Battle_LiJing_Boss</t>
        </is>
      </c>
      <c r="B37" s="36" t="n">
        <v>6</v>
      </c>
      <c r="C37" s="22" t="inlineStr">
        <is>
          <t>HeavenlySoddier</t>
        </is>
      </c>
      <c r="D37" s="36" t="n">
        <v>25</v>
      </c>
      <c r="E37" t="b">
        <v>0</v>
      </c>
    </row>
    <row r="38">
      <c r="A38" s="2" t="inlineStr">
        <is>
          <t>Battle_ErlangShen_Boss</t>
        </is>
      </c>
      <c r="B38" s="36" t="n">
        <v>1</v>
      </c>
      <c r="C38" s="22" t="inlineStr">
        <is>
          <t>HeavenlySoddier</t>
        </is>
      </c>
      <c r="D38" s="36" t="n">
        <v>25</v>
      </c>
      <c r="E38" t="b">
        <v>0</v>
      </c>
    </row>
    <row r="39">
      <c r="A39" s="2" t="inlineStr">
        <is>
          <t>Battle_ErlangShen_Boss</t>
        </is>
      </c>
      <c r="B39" s="36" t="n">
        <v>2</v>
      </c>
      <c r="C39" s="22" t="inlineStr">
        <is>
          <t>HeavenlySoddier</t>
        </is>
      </c>
      <c r="D39" s="36" t="n">
        <v>25</v>
      </c>
      <c r="E39" t="b">
        <v>0</v>
      </c>
    </row>
    <row r="40">
      <c r="A40" s="2" t="inlineStr">
        <is>
          <t>Battle_ErlangShen_Boss</t>
        </is>
      </c>
      <c r="B40" s="36" t="n">
        <v>3</v>
      </c>
      <c r="C40" s="22" t="inlineStr">
        <is>
          <t>HeavenlySoddier</t>
        </is>
      </c>
      <c r="D40" s="36" t="n">
        <v>25</v>
      </c>
      <c r="E40" t="b">
        <v>0</v>
      </c>
    </row>
    <row r="41">
      <c r="A41" s="2" t="inlineStr">
        <is>
          <t>Battle_ErlangShen_Boss</t>
        </is>
      </c>
      <c r="B41" s="36" t="n">
        <v>5</v>
      </c>
      <c r="C41" s="21" t="inlineStr">
        <is>
          <t>ErlangShen_Boss</t>
        </is>
      </c>
      <c r="D41" s="36" t="n">
        <v>30</v>
      </c>
      <c r="E41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"/>
  <sheetViews>
    <sheetView zoomScale="130" zoomScaleNormal="130" workbookViewId="0">
      <selection activeCell="I14" sqref="I14"/>
    </sheetView>
  </sheetViews>
  <sheetFormatPr baseColWidth="8" defaultRowHeight="15"/>
  <cols>
    <col width="10.5703125" bestFit="1" customWidth="1" style="35" min="1" max="1"/>
    <col width="9.140625" customWidth="1" style="37" min="2" max="2"/>
    <col width="10.85546875" bestFit="1" customWidth="1" style="37" min="3" max="3"/>
    <col width="9.140625" customWidth="1" style="37" min="4" max="4"/>
    <col width="10.85546875" bestFit="1" customWidth="1" style="37" min="5" max="5"/>
    <col width="13.140625" bestFit="1" customWidth="1" style="37" min="6" max="6"/>
    <col width="10.85546875" bestFit="1" customWidth="1" style="37" min="7" max="7"/>
    <col width="9.140625" customWidth="1" style="37" min="8" max="8"/>
    <col width="10.85546875" bestFit="1" customWidth="1" style="37" min="9" max="9"/>
  </cols>
  <sheetData>
    <row r="1">
      <c r="A1" s="11" t="inlineStr">
        <is>
          <t>reward_id</t>
        </is>
      </c>
      <c r="B1" s="26" t="inlineStr">
        <is>
          <t>item_01</t>
        </is>
      </c>
      <c r="C1" s="26" t="inlineStr">
        <is>
          <t>amount_01</t>
        </is>
      </c>
      <c r="D1" s="26" t="inlineStr">
        <is>
          <t>item_02</t>
        </is>
      </c>
      <c r="E1" s="26" t="inlineStr">
        <is>
          <t>amount_02</t>
        </is>
      </c>
      <c r="F1" s="26" t="inlineStr">
        <is>
          <t>item_03</t>
        </is>
      </c>
      <c r="G1" s="26" t="inlineStr">
        <is>
          <t>amount_03</t>
        </is>
      </c>
      <c r="H1" s="26" t="inlineStr">
        <is>
          <t>item_04</t>
        </is>
      </c>
      <c r="I1" s="26" t="inlineStr">
        <is>
          <t>amount_04</t>
        </is>
      </c>
    </row>
    <row r="2">
      <c r="A2" t="inlineStr">
        <is>
          <t>Default_01</t>
        </is>
      </c>
      <c r="B2" s="37" t="inlineStr">
        <is>
          <t>Jade</t>
        </is>
      </c>
      <c r="C2" s="37" t="n">
        <v>100</v>
      </c>
      <c r="D2" s="37" t="inlineStr">
        <is>
          <t>Coin</t>
        </is>
      </c>
      <c r="E2" s="37" t="n">
        <v>10000</v>
      </c>
      <c r="F2" s="37" t="inlineStr">
        <is>
          <t>common_exp</t>
        </is>
      </c>
      <c r="G2" s="37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Rare</t>
        </is>
      </c>
      <c r="B1" t="inlineStr">
        <is>
          <t>Multiplier</t>
        </is>
      </c>
      <c r="C1" t="inlineStr">
        <is>
          <t>TierIndex</t>
        </is>
      </c>
      <c r="E1" t="inlineStr">
        <is>
          <t>Role</t>
        </is>
      </c>
      <c r="F1" t="inlineStr">
        <is>
          <t>HP</t>
        </is>
      </c>
      <c r="G1" t="inlineStr">
        <is>
          <t>ATK</t>
        </is>
      </c>
      <c r="H1" t="inlineStr">
        <is>
          <t>DEF</t>
        </is>
      </c>
      <c r="I1" t="inlineStr">
        <is>
          <t>SPD</t>
        </is>
      </c>
      <c r="J1" t="inlineStr">
        <is>
          <t>CR</t>
        </is>
      </c>
      <c r="K1" t="inlineStr">
        <is>
          <t>CD</t>
        </is>
      </c>
      <c r="L1" t="inlineStr">
        <is>
          <t>Shred</t>
        </is>
      </c>
      <c r="M1" t="inlineStr">
        <is>
          <t>Pen</t>
        </is>
      </c>
      <c r="N1" t="inlineStr">
        <is>
          <t>Res</t>
        </is>
      </c>
      <c r="P1" t="inlineStr">
        <is>
          <t>Role</t>
        </is>
      </c>
      <c r="Q1" t="inlineStr">
        <is>
          <t>HP_Inc</t>
        </is>
      </c>
      <c r="R1" t="inlineStr">
        <is>
          <t>ATK_Inc</t>
        </is>
      </c>
      <c r="S1" t="inlineStr">
        <is>
          <t>DEF_Inc</t>
        </is>
      </c>
      <c r="T1" t="inlineStr">
        <is>
          <t>SPD_Inc</t>
        </is>
      </c>
      <c r="U1" t="inlineStr">
        <is>
          <t>CR_Inc</t>
        </is>
      </c>
      <c r="V1" t="inlineStr">
        <is>
          <t>CD_Inc</t>
        </is>
      </c>
      <c r="W1" t="inlineStr">
        <is>
          <t>Shred_Inc</t>
        </is>
      </c>
      <c r="X1" t="inlineStr">
        <is>
          <t>Pen_Inc</t>
        </is>
      </c>
      <c r="Y1" t="inlineStr">
        <is>
          <t>Res_Inc</t>
        </is>
      </c>
      <c r="AA1" t="inlineStr">
        <is>
          <t>Class</t>
        </is>
      </c>
      <c r="AB1" t="inlineStr">
        <is>
          <t>HP_ClassMult</t>
        </is>
      </c>
      <c r="AC1" t="inlineStr">
        <is>
          <t>ATK_ClassMult</t>
        </is>
      </c>
      <c r="AD1" t="inlineStr">
        <is>
          <t>DEF_ClassMult</t>
        </is>
      </c>
      <c r="AE1" t="inlineStr">
        <is>
          <t>BossResBonus</t>
        </is>
      </c>
      <c r="AG1" t="inlineStr">
        <is>
          <t>Stat_Bias</t>
        </is>
      </c>
      <c r="AH1" t="inlineStr">
        <is>
          <t>HP_BiasMult</t>
        </is>
      </c>
      <c r="AI1" t="inlineStr">
        <is>
          <t>ATK_BiasMult</t>
        </is>
      </c>
      <c r="AJ1" t="inlineStr">
        <is>
          <t>DEF_BiasMult</t>
        </is>
      </c>
      <c r="AK1" t="inlineStr">
        <is>
          <t>SPD_Add</t>
        </is>
      </c>
      <c r="AL1" t="inlineStr">
        <is>
          <t>CR_Add</t>
        </is>
      </c>
      <c r="AM1" t="inlineStr">
        <is>
          <t>CD_Add</t>
        </is>
      </c>
      <c r="AN1" t="inlineStr">
        <is>
          <t>Shred_Add</t>
        </is>
      </c>
      <c r="AO1" t="inlineStr">
        <is>
          <t>Pen_Add</t>
        </is>
      </c>
      <c r="AP1" t="inlineStr">
        <is>
          <t>Res_Add</t>
        </is>
      </c>
    </row>
    <row r="2">
      <c r="A2" t="inlineStr">
        <is>
          <t>R</t>
        </is>
      </c>
      <c r="B2" t="n">
        <v>1</v>
      </c>
      <c r="C2" t="n">
        <v>0</v>
      </c>
      <c r="E2" t="inlineStr">
        <is>
          <t>Tanker</t>
        </is>
      </c>
      <c r="F2" t="n">
        <v>4000</v>
      </c>
      <c r="G2" t="n">
        <v>900</v>
      </c>
      <c r="H2" t="n">
        <v>375</v>
      </c>
      <c r="I2" t="n">
        <v>80</v>
      </c>
      <c r="J2" t="n">
        <v>5</v>
      </c>
      <c r="K2" t="n">
        <v>0</v>
      </c>
      <c r="L2" t="n">
        <v>0</v>
      </c>
      <c r="M2" t="n">
        <v>0</v>
      </c>
      <c r="N2" t="n">
        <v>5</v>
      </c>
      <c r="P2" t="inlineStr">
        <is>
          <t>Tanker</t>
        </is>
      </c>
      <c r="Q2" t="n">
        <v>0</v>
      </c>
      <c r="R2" t="n">
        <v>0</v>
      </c>
      <c r="S2" t="n">
        <v>0</v>
      </c>
      <c r="T2" t="n">
        <v>2</v>
      </c>
      <c r="U2" t="n">
        <v>0</v>
      </c>
      <c r="V2" t="n">
        <v>0</v>
      </c>
      <c r="W2" t="n">
        <v>0</v>
      </c>
      <c r="X2" t="n">
        <v>0</v>
      </c>
      <c r="Y2" t="n">
        <v>2</v>
      </c>
      <c r="AA2" t="inlineStr">
        <is>
          <t>Character</t>
        </is>
      </c>
      <c r="AB2" t="n">
        <v>1</v>
      </c>
      <c r="AC2" t="n">
        <v>1</v>
      </c>
      <c r="AD2" t="n">
        <v>1</v>
      </c>
      <c r="AE2" t="n">
        <v>0</v>
      </c>
      <c r="AG2" t="inlineStr">
        <is>
          <t>Balanced</t>
        </is>
      </c>
      <c r="AH2" t="n">
        <v>1</v>
      </c>
      <c r="AI2" t="n">
        <v>1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</row>
    <row r="3">
      <c r="A3" t="inlineStr">
        <is>
          <t>SR</t>
        </is>
      </c>
      <c r="B3" t="n">
        <v>1.2</v>
      </c>
      <c r="C3" t="n">
        <v>1</v>
      </c>
      <c r="E3" t="inlineStr">
        <is>
          <t>Fighter</t>
        </is>
      </c>
      <c r="F3" t="n">
        <v>2750</v>
      </c>
      <c r="G3" t="n">
        <v>1650</v>
      </c>
      <c r="H3" t="n">
        <v>275</v>
      </c>
      <c r="I3" t="n">
        <v>90</v>
      </c>
      <c r="J3" t="n">
        <v>5</v>
      </c>
      <c r="K3" t="n">
        <v>5</v>
      </c>
      <c r="L3" t="n">
        <v>5</v>
      </c>
      <c r="M3" t="n">
        <v>2</v>
      </c>
      <c r="N3" t="n">
        <v>0</v>
      </c>
      <c r="P3" t="inlineStr">
        <is>
          <t>Fighter</t>
        </is>
      </c>
      <c r="Q3" t="n">
        <v>0</v>
      </c>
      <c r="R3" t="n">
        <v>0</v>
      </c>
      <c r="S3" t="n">
        <v>0</v>
      </c>
      <c r="T3" t="n">
        <v>2</v>
      </c>
      <c r="U3" t="n">
        <v>1</v>
      </c>
      <c r="V3" t="n">
        <v>3</v>
      </c>
      <c r="W3" t="n">
        <v>2</v>
      </c>
      <c r="X3" t="n">
        <v>1</v>
      </c>
      <c r="Y3" t="n">
        <v>0</v>
      </c>
      <c r="AA3" t="inlineStr">
        <is>
          <t>Creep</t>
        </is>
      </c>
      <c r="AB3" t="n">
        <v>1</v>
      </c>
      <c r="AC3" t="n">
        <v>1.4</v>
      </c>
      <c r="AD3" t="n">
        <v>1.2</v>
      </c>
      <c r="AE3" t="n">
        <v>0</v>
      </c>
      <c r="AG3" t="inlineStr">
        <is>
          <t>Offensive</t>
        </is>
      </c>
      <c r="AH3" t="n">
        <v>0.95</v>
      </c>
      <c r="AI3" t="n">
        <v>1.1</v>
      </c>
      <c r="AJ3" t="n">
        <v>0.95</v>
      </c>
      <c r="AK3" t="n">
        <v>0</v>
      </c>
      <c r="AL3" t="n">
        <v>2</v>
      </c>
      <c r="AM3" t="n">
        <v>8</v>
      </c>
      <c r="AN3" t="n">
        <v>5</v>
      </c>
      <c r="AO3" t="n">
        <v>0</v>
      </c>
      <c r="AP3" t="n">
        <v>0</v>
      </c>
    </row>
    <row r="4">
      <c r="A4" t="inlineStr">
        <is>
          <t>SSR</t>
        </is>
      </c>
      <c r="B4" t="n">
        <v>1.45</v>
      </c>
      <c r="C4" t="n">
        <v>2</v>
      </c>
      <c r="E4" t="inlineStr">
        <is>
          <t>Assassin</t>
        </is>
      </c>
      <c r="F4" t="n">
        <v>2000</v>
      </c>
      <c r="G4" t="n">
        <v>2250</v>
      </c>
      <c r="H4" t="n">
        <v>200</v>
      </c>
      <c r="I4" t="n">
        <v>105</v>
      </c>
      <c r="J4" t="n">
        <v>10</v>
      </c>
      <c r="K4" t="n">
        <v>15</v>
      </c>
      <c r="L4" t="n">
        <v>10</v>
      </c>
      <c r="M4" t="n">
        <v>5</v>
      </c>
      <c r="N4" t="n">
        <v>0</v>
      </c>
      <c r="P4" t="inlineStr">
        <is>
          <t>Assassin</t>
        </is>
      </c>
      <c r="Q4" t="n">
        <v>0</v>
      </c>
      <c r="R4" t="n">
        <v>0</v>
      </c>
      <c r="S4" t="n">
        <v>0</v>
      </c>
      <c r="T4" t="n">
        <v>3</v>
      </c>
      <c r="U4" t="n">
        <v>2</v>
      </c>
      <c r="V4" t="n">
        <v>3</v>
      </c>
      <c r="W4" t="n">
        <v>3</v>
      </c>
      <c r="X4" t="n">
        <v>2</v>
      </c>
      <c r="Y4" t="n">
        <v>0</v>
      </c>
      <c r="AA4" t="inlineStr">
        <is>
          <t>Boss</t>
        </is>
      </c>
      <c r="AB4" t="n">
        <v>1.5</v>
      </c>
      <c r="AC4" t="n">
        <v>1.2</v>
      </c>
      <c r="AD4" t="n">
        <v>1.2</v>
      </c>
      <c r="AE4" t="n">
        <v>10</v>
      </c>
      <c r="AG4" t="inlineStr">
        <is>
          <t>Defensive</t>
        </is>
      </c>
      <c r="AH4" t="n">
        <v>1.15</v>
      </c>
      <c r="AI4" t="n">
        <v>0.9</v>
      </c>
      <c r="AJ4" t="n">
        <v>1.1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5</v>
      </c>
    </row>
    <row r="5">
      <c r="A5" t="inlineStr">
        <is>
          <t>UR</t>
        </is>
      </c>
      <c r="B5" t="n">
        <v>1.7</v>
      </c>
      <c r="C5" t="n">
        <v>3</v>
      </c>
      <c r="E5" t="inlineStr">
        <is>
          <t>Mage</t>
        </is>
      </c>
      <c r="F5" t="n">
        <v>2250</v>
      </c>
      <c r="G5" t="n">
        <v>2100</v>
      </c>
      <c r="H5" t="n">
        <v>210</v>
      </c>
      <c r="I5" t="n">
        <v>95</v>
      </c>
      <c r="J5" t="n">
        <v>5</v>
      </c>
      <c r="K5" t="n">
        <v>10</v>
      </c>
      <c r="L5" t="n">
        <v>0</v>
      </c>
      <c r="M5" t="n">
        <v>5</v>
      </c>
      <c r="N5" t="n">
        <v>0</v>
      </c>
      <c r="P5" t="inlineStr">
        <is>
          <t>Mage</t>
        </is>
      </c>
      <c r="Q5" t="n">
        <v>0</v>
      </c>
      <c r="R5" t="n">
        <v>0</v>
      </c>
      <c r="S5" t="n">
        <v>0</v>
      </c>
      <c r="T5" t="n">
        <v>2</v>
      </c>
      <c r="U5" t="n">
        <v>1</v>
      </c>
      <c r="V5" t="n">
        <v>3</v>
      </c>
      <c r="W5" t="n">
        <v>0</v>
      </c>
      <c r="X5" t="n">
        <v>2</v>
      </c>
      <c r="Y5" t="n">
        <v>0</v>
      </c>
      <c r="AG5" t="inlineStr">
        <is>
          <t>Swift</t>
        </is>
      </c>
      <c r="AH5" t="n">
        <v>0.95</v>
      </c>
      <c r="AI5" t="n">
        <v>0.95</v>
      </c>
      <c r="AJ5" t="n">
        <v>0.95</v>
      </c>
      <c r="AK5" t="n">
        <v>8</v>
      </c>
      <c r="AL5" t="n">
        <v>5</v>
      </c>
      <c r="AM5" t="n">
        <v>0</v>
      </c>
      <c r="AN5" t="n">
        <v>0</v>
      </c>
      <c r="AO5" t="n">
        <v>0</v>
      </c>
      <c r="AP5" t="n">
        <v>0</v>
      </c>
    </row>
    <row r="6">
      <c r="E6" t="inlineStr">
        <is>
          <t>Support</t>
        </is>
      </c>
      <c r="F6" t="n">
        <v>3000</v>
      </c>
      <c r="G6" t="n">
        <v>1050</v>
      </c>
      <c r="H6" t="n">
        <v>250</v>
      </c>
      <c r="I6" t="n">
        <v>100</v>
      </c>
      <c r="J6" t="n">
        <v>5</v>
      </c>
      <c r="K6" t="n">
        <v>0</v>
      </c>
      <c r="L6" t="n">
        <v>0</v>
      </c>
      <c r="M6" t="n">
        <v>0</v>
      </c>
      <c r="N6" t="n">
        <v>3</v>
      </c>
      <c r="P6" t="inlineStr">
        <is>
          <t>Support</t>
        </is>
      </c>
      <c r="Q6" t="n">
        <v>0</v>
      </c>
      <c r="R6" t="n">
        <v>0</v>
      </c>
      <c r="S6" t="n">
        <v>0</v>
      </c>
      <c r="T6" t="n">
        <v>3</v>
      </c>
      <c r="U6" t="n">
        <v>0</v>
      </c>
      <c r="V6" t="n">
        <v>0</v>
      </c>
      <c r="W6" t="n">
        <v>0</v>
      </c>
      <c r="X6" t="n">
        <v>0</v>
      </c>
      <c r="Y6" t="n">
        <v>2</v>
      </c>
      <c r="AG6" t="inlineStr">
        <is>
          <t>Heavy</t>
        </is>
      </c>
      <c r="AH6" t="n">
        <v>1</v>
      </c>
      <c r="AI6" t="n">
        <v>1.05</v>
      </c>
      <c r="AJ6" t="n">
        <v>1.05</v>
      </c>
      <c r="AK6" t="n">
        <v>-5</v>
      </c>
      <c r="AL6" t="n">
        <v>0</v>
      </c>
      <c r="AM6" t="n">
        <v>0</v>
      </c>
      <c r="AN6" t="n">
        <v>15</v>
      </c>
      <c r="AO6" t="n">
        <v>0</v>
      </c>
      <c r="AP6" t="n">
        <v>0</v>
      </c>
    </row>
    <row r="7">
      <c r="E7" t="inlineStr">
        <is>
          <t>ADCarry</t>
        </is>
      </c>
      <c r="F7" t="n">
        <v>2200</v>
      </c>
      <c r="G7" t="n">
        <v>2200</v>
      </c>
      <c r="H7" t="n">
        <v>220</v>
      </c>
      <c r="I7" t="n">
        <v>100</v>
      </c>
      <c r="J7" t="n">
        <v>8</v>
      </c>
      <c r="K7" t="n">
        <v>10</v>
      </c>
      <c r="L7" t="n">
        <v>5</v>
      </c>
      <c r="M7" t="n">
        <v>4</v>
      </c>
      <c r="N7" t="n">
        <v>0</v>
      </c>
      <c r="P7" t="inlineStr">
        <is>
          <t>ADCarry</t>
        </is>
      </c>
      <c r="Q7" t="n">
        <v>0</v>
      </c>
      <c r="R7" t="n">
        <v>0</v>
      </c>
      <c r="S7" t="n">
        <v>0</v>
      </c>
      <c r="T7" t="n">
        <v>3</v>
      </c>
      <c r="U7" t="n">
        <v>2</v>
      </c>
      <c r="V7" t="n">
        <v>3</v>
      </c>
      <c r="W7" t="n">
        <v>2</v>
      </c>
      <c r="X7" t="n">
        <v>1</v>
      </c>
      <c r="Y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2026-08-19T11:03:25Z</dcterms:modified>
  <cp:lastModifiedBy>ADMIN</cp:lastModifiedBy>
</cp:coreProperties>
</file>