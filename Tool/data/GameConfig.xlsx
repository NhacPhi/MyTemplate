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3" activeTab="5"/>
  </bookViews>
  <sheets>
    <sheet name="Item_Master" sheetId="1" r:id="rId1"/>
    <sheet name="Item_Detail" sheetId="3" r:id="rId2"/>
    <sheet name="Weapon" sheetId="2" r:id="rId3"/>
    <sheet name="Passives" sheetId="18" r:id="rId4"/>
    <sheet name="StaticModifiers" sheetId="19" r:id="rId5"/>
    <sheet name="CombatEvents" sheetId="20" r:id="rId6"/>
    <sheet name="Armor" sheetId="4" r:id="rId7"/>
    <sheet name="SubstatPool" sheetId="21" r:id="rId8"/>
    <sheet name="SetBonusConfig" sheetId="16" r:id="rId9"/>
    <sheet name="Character" sheetId="5" r:id="rId10"/>
    <sheet name="SkillConfig" sheetId="11" r:id="rId11"/>
    <sheet name="EffectConfig" sheetId="12" r:id="rId12"/>
    <sheet name="CharacterStat" sheetId="6" r:id="rId13"/>
    <sheet name="CharacterAttribute" sheetId="8" r:id="rId14"/>
    <sheet name="CharacterUpgrade" sheetId="7" r:id="rId15"/>
    <sheet name="ExpCurvesConfig" sheetId="13" r:id="rId16"/>
    <sheet name="AscensionConfig" sheetId="14" r:id="rId17"/>
    <sheet name="StarUp" sheetId="15" r:id="rId18"/>
    <sheet name="BattleConfig" sheetId="9" r:id="rId19"/>
    <sheet name="StageEnemies" sheetId="10" r:id="rId20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3" l="1"/>
  <c r="I19" i="13"/>
  <c r="I34" i="13"/>
  <c r="I35" i="13"/>
  <c r="I50" i="13"/>
  <c r="I51" i="13"/>
  <c r="I67" i="13"/>
  <c r="I83" i="13"/>
  <c r="I99" i="13"/>
  <c r="H30" i="13"/>
  <c r="H31" i="13"/>
  <c r="H46" i="13"/>
  <c r="G19" i="13"/>
  <c r="G29" i="13"/>
  <c r="G67" i="13"/>
  <c r="F100" i="13"/>
  <c r="E5" i="13"/>
  <c r="I5" i="13" s="1"/>
  <c r="E6" i="13"/>
  <c r="I6" i="13" s="1"/>
  <c r="E7" i="13"/>
  <c r="I7" i="13" s="1"/>
  <c r="E8" i="13"/>
  <c r="I9" i="13" s="1"/>
  <c r="E9" i="13"/>
  <c r="E10" i="13"/>
  <c r="I10" i="13" s="1"/>
  <c r="E11" i="13"/>
  <c r="I11" i="13" s="1"/>
  <c r="E12" i="13"/>
  <c r="I12" i="13" s="1"/>
  <c r="E13" i="13"/>
  <c r="I13" i="13" s="1"/>
  <c r="E14" i="13"/>
  <c r="I14" i="13" s="1"/>
  <c r="E15" i="13"/>
  <c r="I15" i="13" s="1"/>
  <c r="E16" i="13"/>
  <c r="I17" i="13" s="1"/>
  <c r="E17" i="13"/>
  <c r="E18" i="13"/>
  <c r="E19" i="13"/>
  <c r="E20" i="13"/>
  <c r="I20" i="13" s="1"/>
  <c r="E21" i="13"/>
  <c r="I21" i="13" s="1"/>
  <c r="E22" i="13"/>
  <c r="I22" i="13" s="1"/>
  <c r="E23" i="13"/>
  <c r="I23" i="13" s="1"/>
  <c r="E24" i="13"/>
  <c r="I24" i="13" s="1"/>
  <c r="E25" i="13"/>
  <c r="E26" i="13"/>
  <c r="I26" i="13" s="1"/>
  <c r="E27" i="13"/>
  <c r="I27" i="13" s="1"/>
  <c r="E28" i="13"/>
  <c r="I28" i="13" s="1"/>
  <c r="E29" i="13"/>
  <c r="I29" i="13" s="1"/>
  <c r="E30" i="13"/>
  <c r="I30" i="13" s="1"/>
  <c r="E31" i="13"/>
  <c r="I31" i="13" s="1"/>
  <c r="E32" i="13"/>
  <c r="I32" i="13" s="1"/>
  <c r="E33" i="13"/>
  <c r="E34" i="13"/>
  <c r="E35" i="13"/>
  <c r="E36" i="13"/>
  <c r="I36" i="13" s="1"/>
  <c r="E37" i="13"/>
  <c r="I37" i="13" s="1"/>
  <c r="E38" i="13"/>
  <c r="I38" i="13" s="1"/>
  <c r="E39" i="13"/>
  <c r="I39" i="13" s="1"/>
  <c r="E40" i="13"/>
  <c r="I40" i="13" s="1"/>
  <c r="E41" i="13"/>
  <c r="E42" i="13"/>
  <c r="I42" i="13" s="1"/>
  <c r="E43" i="13"/>
  <c r="I43" i="13" s="1"/>
  <c r="E44" i="13"/>
  <c r="I44" i="13" s="1"/>
  <c r="E45" i="13"/>
  <c r="I45" i="13" s="1"/>
  <c r="E46" i="13"/>
  <c r="I46" i="13" s="1"/>
  <c r="E47" i="13"/>
  <c r="I47" i="13" s="1"/>
  <c r="E48" i="13"/>
  <c r="I48" i="13" s="1"/>
  <c r="E49" i="13"/>
  <c r="E50" i="13"/>
  <c r="E51" i="13"/>
  <c r="E52" i="13"/>
  <c r="I52" i="13" s="1"/>
  <c r="E53" i="13"/>
  <c r="I53" i="13" s="1"/>
  <c r="E54" i="13"/>
  <c r="I54" i="13" s="1"/>
  <c r="E55" i="13"/>
  <c r="I55" i="13" s="1"/>
  <c r="E56" i="13"/>
  <c r="I56" i="13" s="1"/>
  <c r="E57" i="13"/>
  <c r="E58" i="13"/>
  <c r="I58" i="13" s="1"/>
  <c r="E59" i="13"/>
  <c r="I59" i="13" s="1"/>
  <c r="E60" i="13"/>
  <c r="I60" i="13" s="1"/>
  <c r="E61" i="13"/>
  <c r="I61" i="13" s="1"/>
  <c r="E62" i="13"/>
  <c r="I62" i="13" s="1"/>
  <c r="E63" i="13"/>
  <c r="I63" i="13" s="1"/>
  <c r="E64" i="13"/>
  <c r="I64" i="13" s="1"/>
  <c r="E65" i="13"/>
  <c r="I66" i="13" s="1"/>
  <c r="E66" i="13"/>
  <c r="E67" i="13"/>
  <c r="E68" i="13"/>
  <c r="I68" i="13" s="1"/>
  <c r="E69" i="13"/>
  <c r="I69" i="13" s="1"/>
  <c r="E70" i="13"/>
  <c r="I70" i="13" s="1"/>
  <c r="E71" i="13"/>
  <c r="I71" i="13" s="1"/>
  <c r="E72" i="13"/>
  <c r="I72" i="13" s="1"/>
  <c r="E73" i="13"/>
  <c r="E74" i="13"/>
  <c r="I74" i="13" s="1"/>
  <c r="E75" i="13"/>
  <c r="I75" i="13" s="1"/>
  <c r="E76" i="13"/>
  <c r="I76" i="13" s="1"/>
  <c r="E77" i="13"/>
  <c r="I77" i="13" s="1"/>
  <c r="E78" i="13"/>
  <c r="I78" i="13" s="1"/>
  <c r="E79" i="13"/>
  <c r="I79" i="13" s="1"/>
  <c r="E80" i="13"/>
  <c r="I81" i="13" s="1"/>
  <c r="E81" i="13"/>
  <c r="E82" i="13"/>
  <c r="I82" i="13" s="1"/>
  <c r="E83" i="13"/>
  <c r="E84" i="13"/>
  <c r="I84" i="13" s="1"/>
  <c r="E85" i="13"/>
  <c r="I85" i="13" s="1"/>
  <c r="E86" i="13"/>
  <c r="I86" i="13" s="1"/>
  <c r="E87" i="13"/>
  <c r="I87" i="13" s="1"/>
  <c r="E88" i="13"/>
  <c r="I88" i="13" s="1"/>
  <c r="E89" i="13"/>
  <c r="E90" i="13"/>
  <c r="I90" i="13" s="1"/>
  <c r="E91" i="13"/>
  <c r="I91" i="13" s="1"/>
  <c r="E92" i="13"/>
  <c r="I92" i="13" s="1"/>
  <c r="E93" i="13"/>
  <c r="I93" i="13" s="1"/>
  <c r="E94" i="13"/>
  <c r="I94" i="13" s="1"/>
  <c r="E95" i="13"/>
  <c r="I95" i="13" s="1"/>
  <c r="E96" i="13"/>
  <c r="I97" i="13" s="1"/>
  <c r="E97" i="13"/>
  <c r="E98" i="13"/>
  <c r="I98" i="13" s="1"/>
  <c r="E99" i="13"/>
  <c r="E100" i="13"/>
  <c r="I100" i="13" s="1"/>
  <c r="E101" i="13"/>
  <c r="I101" i="13" s="1"/>
  <c r="E3" i="13"/>
  <c r="I3" i="13" s="1"/>
  <c r="E4" i="13"/>
  <c r="I4" i="13" s="1"/>
  <c r="E2" i="13"/>
  <c r="D3" i="13"/>
  <c r="D4" i="13"/>
  <c r="D5" i="13"/>
  <c r="D6" i="13"/>
  <c r="H6" i="13" s="1"/>
  <c r="D7" i="13"/>
  <c r="H7" i="13" s="1"/>
  <c r="D8" i="13"/>
  <c r="D9" i="13"/>
  <c r="H9" i="13" s="1"/>
  <c r="D10" i="13"/>
  <c r="D11" i="13"/>
  <c r="H11" i="13" s="1"/>
  <c r="D12" i="13"/>
  <c r="D13" i="13"/>
  <c r="H13" i="13" s="1"/>
  <c r="D14" i="13"/>
  <c r="H14" i="13" s="1"/>
  <c r="D15" i="13"/>
  <c r="H15" i="13" s="1"/>
  <c r="D16" i="13"/>
  <c r="D17" i="13"/>
  <c r="H17" i="13" s="1"/>
  <c r="D18" i="13"/>
  <c r="H18" i="13" s="1"/>
  <c r="D19" i="13"/>
  <c r="D20" i="13"/>
  <c r="D21" i="13"/>
  <c r="D22" i="13"/>
  <c r="H22" i="13" s="1"/>
  <c r="D23" i="13"/>
  <c r="H23" i="13" s="1"/>
  <c r="D24" i="13"/>
  <c r="D25" i="13"/>
  <c r="H25" i="13" s="1"/>
  <c r="D26" i="13"/>
  <c r="D27" i="13"/>
  <c r="D28" i="13"/>
  <c r="H29" i="13" s="1"/>
  <c r="D29" i="13"/>
  <c r="D30" i="13"/>
  <c r="D31" i="13"/>
  <c r="D32" i="13"/>
  <c r="H32" i="13" s="1"/>
  <c r="D33" i="13"/>
  <c r="H33" i="13" s="1"/>
  <c r="D34" i="13"/>
  <c r="D35" i="13"/>
  <c r="D36" i="13"/>
  <c r="D37" i="13"/>
  <c r="D38" i="13"/>
  <c r="H38" i="13" s="1"/>
  <c r="D39" i="13"/>
  <c r="H39" i="13" s="1"/>
  <c r="D40" i="13"/>
  <c r="D41" i="13"/>
  <c r="H41" i="13" s="1"/>
  <c r="D42" i="13"/>
  <c r="D43" i="13"/>
  <c r="D44" i="13"/>
  <c r="D45" i="13"/>
  <c r="H45" i="13" s="1"/>
  <c r="D46" i="13"/>
  <c r="D47" i="13"/>
  <c r="H47" i="13" s="1"/>
  <c r="D48" i="13"/>
  <c r="H48" i="13" s="1"/>
  <c r="D49" i="13"/>
  <c r="H49" i="13" s="1"/>
  <c r="D50" i="13"/>
  <c r="D51" i="13"/>
  <c r="D52" i="13"/>
  <c r="D53" i="13"/>
  <c r="D54" i="13"/>
  <c r="H54" i="13" s="1"/>
  <c r="D55" i="13"/>
  <c r="H55" i="13" s="1"/>
  <c r="D56" i="13"/>
  <c r="D57" i="13"/>
  <c r="H57" i="13" s="1"/>
  <c r="D58" i="13"/>
  <c r="D59" i="13"/>
  <c r="D60" i="13"/>
  <c r="D61" i="13"/>
  <c r="H61" i="13" s="1"/>
  <c r="D62" i="13"/>
  <c r="H62" i="13" s="1"/>
  <c r="D63" i="13"/>
  <c r="H64" i="13" s="1"/>
  <c r="D64" i="13"/>
  <c r="D65" i="13"/>
  <c r="H65" i="13" s="1"/>
  <c r="D66" i="13"/>
  <c r="D67" i="13"/>
  <c r="D68" i="13"/>
  <c r="D69" i="13"/>
  <c r="D70" i="13"/>
  <c r="H70" i="13" s="1"/>
  <c r="D71" i="13"/>
  <c r="H71" i="13" s="1"/>
  <c r="D72" i="13"/>
  <c r="D73" i="13"/>
  <c r="H73" i="13" s="1"/>
  <c r="D74" i="13"/>
  <c r="D75" i="13"/>
  <c r="D76" i="13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D83" i="13"/>
  <c r="H83" i="13" s="1"/>
  <c r="D84" i="13"/>
  <c r="D85" i="13"/>
  <c r="D86" i="13"/>
  <c r="H86" i="13" s="1"/>
  <c r="D87" i="13"/>
  <c r="H87" i="13" s="1"/>
  <c r="D88" i="13"/>
  <c r="D89" i="13"/>
  <c r="H89" i="13" s="1"/>
  <c r="D90" i="13"/>
  <c r="H90" i="13" s="1"/>
  <c r="D91" i="13"/>
  <c r="D92" i="13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D99" i="13"/>
  <c r="H99" i="13" s="1"/>
  <c r="D100" i="13"/>
  <c r="H100" i="13" s="1"/>
  <c r="D101" i="13"/>
  <c r="D2" i="13"/>
  <c r="C3" i="13"/>
  <c r="C4" i="13"/>
  <c r="G4" i="13" s="1"/>
  <c r="C5" i="13"/>
  <c r="G5" i="13" s="1"/>
  <c r="C6" i="13"/>
  <c r="C7" i="13"/>
  <c r="C8" i="13"/>
  <c r="G8" i="13" s="1"/>
  <c r="C9" i="13"/>
  <c r="C10" i="13"/>
  <c r="C11" i="13"/>
  <c r="G11" i="13" s="1"/>
  <c r="C12" i="13"/>
  <c r="C13" i="13"/>
  <c r="G13" i="13" s="1"/>
  <c r="C14" i="13"/>
  <c r="C15" i="13"/>
  <c r="G15" i="13" s="1"/>
  <c r="C16" i="13"/>
  <c r="G16" i="13" s="1"/>
  <c r="C17" i="13"/>
  <c r="G18" i="13" s="1"/>
  <c r="C18" i="13"/>
  <c r="C19" i="13"/>
  <c r="C20" i="13"/>
  <c r="G20" i="13" s="1"/>
  <c r="C21" i="13"/>
  <c r="G21" i="13" s="1"/>
  <c r="C22" i="13"/>
  <c r="C23" i="13"/>
  <c r="C24" i="13"/>
  <c r="G24" i="13" s="1"/>
  <c r="C25" i="13"/>
  <c r="C26" i="13"/>
  <c r="C27" i="13"/>
  <c r="G27" i="13" s="1"/>
  <c r="C28" i="13"/>
  <c r="C29" i="13"/>
  <c r="C30" i="13"/>
  <c r="C31" i="13"/>
  <c r="G31" i="13" s="1"/>
  <c r="C32" i="13"/>
  <c r="G32" i="13" s="1"/>
  <c r="C33" i="13"/>
  <c r="C34" i="13"/>
  <c r="C35" i="13"/>
  <c r="G35" i="13" s="1"/>
  <c r="C36" i="13"/>
  <c r="G36" i="13" s="1"/>
  <c r="C37" i="13"/>
  <c r="G37" i="13" s="1"/>
  <c r="C38" i="13"/>
  <c r="C39" i="13"/>
  <c r="C40" i="13"/>
  <c r="G40" i="13" s="1"/>
  <c r="C41" i="13"/>
  <c r="C42" i="13"/>
  <c r="C43" i="13"/>
  <c r="G43" i="13" s="1"/>
  <c r="C44" i="13"/>
  <c r="C45" i="13"/>
  <c r="G45" i="13" s="1"/>
  <c r="C46" i="13"/>
  <c r="C47" i="13"/>
  <c r="G47" i="13" s="1"/>
  <c r="C48" i="13"/>
  <c r="G48" i="13" s="1"/>
  <c r="C49" i="13"/>
  <c r="G50" i="13" s="1"/>
  <c r="C50" i="13"/>
  <c r="C51" i="13"/>
  <c r="G51" i="13" s="1"/>
  <c r="C52" i="13"/>
  <c r="G52" i="13" s="1"/>
  <c r="C53" i="13"/>
  <c r="G53" i="13" s="1"/>
  <c r="C54" i="13"/>
  <c r="C55" i="13"/>
  <c r="C56" i="13"/>
  <c r="G56" i="13" s="1"/>
  <c r="C57" i="13"/>
  <c r="C58" i="13"/>
  <c r="C59" i="13"/>
  <c r="G59" i="13" s="1"/>
  <c r="C60" i="13"/>
  <c r="G60" i="13" s="1"/>
  <c r="C61" i="13"/>
  <c r="G61" i="13" s="1"/>
  <c r="C62" i="13"/>
  <c r="C63" i="13"/>
  <c r="G63" i="13" s="1"/>
  <c r="C64" i="13"/>
  <c r="G64" i="13" s="1"/>
  <c r="C65" i="13"/>
  <c r="G66" i="13" s="1"/>
  <c r="C66" i="13"/>
  <c r="C67" i="13"/>
  <c r="C68" i="13"/>
  <c r="G68" i="13" s="1"/>
  <c r="C69" i="13"/>
  <c r="G69" i="13" s="1"/>
  <c r="C70" i="13"/>
  <c r="C71" i="13"/>
  <c r="C72" i="13"/>
  <c r="G72" i="13" s="1"/>
  <c r="C73" i="13"/>
  <c r="G74" i="13" s="1"/>
  <c r="C74" i="13"/>
  <c r="C75" i="13"/>
  <c r="G75" i="13" s="1"/>
  <c r="C76" i="13"/>
  <c r="G76" i="13" s="1"/>
  <c r="C77" i="13"/>
  <c r="G77" i="13" s="1"/>
  <c r="C78" i="13"/>
  <c r="C79" i="13"/>
  <c r="G79" i="13" s="1"/>
  <c r="C80" i="13"/>
  <c r="G80" i="13" s="1"/>
  <c r="C81" i="13"/>
  <c r="C82" i="13"/>
  <c r="C83" i="13"/>
  <c r="G83" i="13" s="1"/>
  <c r="C84" i="13"/>
  <c r="G84" i="13" s="1"/>
  <c r="C85" i="13"/>
  <c r="G85" i="13" s="1"/>
  <c r="C86" i="13"/>
  <c r="C87" i="13"/>
  <c r="C88" i="13"/>
  <c r="G88" i="13" s="1"/>
  <c r="C89" i="13"/>
  <c r="C90" i="13"/>
  <c r="C91" i="13"/>
  <c r="G91" i="13" s="1"/>
  <c r="C92" i="13"/>
  <c r="G92" i="13" s="1"/>
  <c r="C93" i="13"/>
  <c r="G93" i="13" s="1"/>
  <c r="C94" i="13"/>
  <c r="C95" i="13"/>
  <c r="G95" i="13" s="1"/>
  <c r="C96" i="13"/>
  <c r="G96" i="13" s="1"/>
  <c r="C97" i="13"/>
  <c r="G98" i="13" s="1"/>
  <c r="C98" i="13"/>
  <c r="C99" i="13"/>
  <c r="G99" i="13" s="1"/>
  <c r="C100" i="13"/>
  <c r="G100" i="13" s="1"/>
  <c r="C101" i="13"/>
  <c r="G101" i="13" s="1"/>
  <c r="C2" i="13"/>
  <c r="B2" i="13"/>
  <c r="B5" i="13"/>
  <c r="B6" i="13"/>
  <c r="B7" i="13"/>
  <c r="F7" i="13" s="1"/>
  <c r="B8" i="13"/>
  <c r="F8" i="13" s="1"/>
  <c r="B9" i="13"/>
  <c r="B10" i="13"/>
  <c r="B11" i="13"/>
  <c r="B12" i="13"/>
  <c r="F12" i="13" s="1"/>
  <c r="B13" i="13"/>
  <c r="F13" i="13" s="1"/>
  <c r="B14" i="13"/>
  <c r="B15" i="13"/>
  <c r="F15" i="13" s="1"/>
  <c r="B16" i="13"/>
  <c r="B17" i="13"/>
  <c r="B18" i="13"/>
  <c r="F18" i="13" s="1"/>
  <c r="B19" i="13"/>
  <c r="B20" i="13"/>
  <c r="F20" i="13" s="1"/>
  <c r="B21" i="13"/>
  <c r="F21" i="13" s="1"/>
  <c r="B22" i="13"/>
  <c r="F22" i="13" s="1"/>
  <c r="B23" i="13"/>
  <c r="F23" i="13" s="1"/>
  <c r="B24" i="13"/>
  <c r="F24" i="13" s="1"/>
  <c r="B25" i="13"/>
  <c r="B26" i="13"/>
  <c r="B27" i="13"/>
  <c r="B28" i="13"/>
  <c r="F28" i="13" s="1"/>
  <c r="B29" i="13"/>
  <c r="F29" i="13" s="1"/>
  <c r="B30" i="13"/>
  <c r="F30" i="13" s="1"/>
  <c r="B31" i="13"/>
  <c r="F31" i="13" s="1"/>
  <c r="B32" i="13"/>
  <c r="B33" i="13"/>
  <c r="B34" i="13"/>
  <c r="B35" i="13"/>
  <c r="B36" i="13"/>
  <c r="F36" i="13" s="1"/>
  <c r="B37" i="13"/>
  <c r="F37" i="13" s="1"/>
  <c r="B38" i="13"/>
  <c r="B39" i="13"/>
  <c r="F39" i="13" s="1"/>
  <c r="B40" i="13"/>
  <c r="F40" i="13" s="1"/>
  <c r="B41" i="13"/>
  <c r="B42" i="13"/>
  <c r="B43" i="13"/>
  <c r="B44" i="13"/>
  <c r="F44" i="13" s="1"/>
  <c r="B45" i="13"/>
  <c r="F45" i="13" s="1"/>
  <c r="B46" i="13"/>
  <c r="F46" i="13" s="1"/>
  <c r="B47" i="13"/>
  <c r="F47" i="13" s="1"/>
  <c r="B48" i="13"/>
  <c r="B49" i="13"/>
  <c r="B50" i="13"/>
  <c r="F50" i="13" s="1"/>
  <c r="B51" i="13"/>
  <c r="B52" i="13"/>
  <c r="F52" i="13" s="1"/>
  <c r="B53" i="13"/>
  <c r="F53" i="13" s="1"/>
  <c r="B54" i="13"/>
  <c r="B55" i="13"/>
  <c r="F55" i="13" s="1"/>
  <c r="B56" i="13"/>
  <c r="B57" i="13"/>
  <c r="F57" i="13" s="1"/>
  <c r="B58" i="13"/>
  <c r="B59" i="13"/>
  <c r="B60" i="13"/>
  <c r="F60" i="13" s="1"/>
  <c r="B61" i="13"/>
  <c r="F61" i="13" s="1"/>
  <c r="B62" i="13"/>
  <c r="F62" i="13" s="1"/>
  <c r="B63" i="13"/>
  <c r="F63" i="13" s="1"/>
  <c r="B64" i="13"/>
  <c r="B65" i="13"/>
  <c r="B66" i="13"/>
  <c r="F66" i="13" s="1"/>
  <c r="B67" i="13"/>
  <c r="B68" i="13"/>
  <c r="F68" i="13" s="1"/>
  <c r="B69" i="13"/>
  <c r="F69" i="13" s="1"/>
  <c r="B70" i="13"/>
  <c r="B71" i="13"/>
  <c r="F71" i="13" s="1"/>
  <c r="B72" i="13"/>
  <c r="F72" i="13" s="1"/>
  <c r="B73" i="13"/>
  <c r="B74" i="13"/>
  <c r="B75" i="13"/>
  <c r="B76" i="13"/>
  <c r="F76" i="13" s="1"/>
  <c r="B77" i="13"/>
  <c r="F77" i="13" s="1"/>
  <c r="B78" i="13"/>
  <c r="B79" i="13"/>
  <c r="F79" i="13" s="1"/>
  <c r="B80" i="13"/>
  <c r="B81" i="13"/>
  <c r="B82" i="13"/>
  <c r="F82" i="13" s="1"/>
  <c r="B83" i="13"/>
  <c r="B84" i="13"/>
  <c r="F84" i="13" s="1"/>
  <c r="B85" i="13"/>
  <c r="F85" i="13" s="1"/>
  <c r="B86" i="13"/>
  <c r="B87" i="13"/>
  <c r="F87" i="13" s="1"/>
  <c r="B88" i="13"/>
  <c r="F88" i="13" s="1"/>
  <c r="B89" i="13"/>
  <c r="B90" i="13"/>
  <c r="B91" i="13"/>
  <c r="B92" i="13"/>
  <c r="F92" i="13" s="1"/>
  <c r="B93" i="13"/>
  <c r="F93" i="13" s="1"/>
  <c r="B94" i="13"/>
  <c r="B95" i="13"/>
  <c r="F95" i="13" s="1"/>
  <c r="B96" i="13"/>
  <c r="B97" i="13"/>
  <c r="B98" i="13"/>
  <c r="F98" i="13" s="1"/>
  <c r="B99" i="13"/>
  <c r="B100" i="13"/>
  <c r="B101" i="13"/>
  <c r="F101" i="13" s="1"/>
  <c r="B4" i="13"/>
  <c r="B3" i="13"/>
  <c r="F3" i="13" s="1"/>
  <c r="H60" i="13" l="1"/>
  <c r="H74" i="13"/>
  <c r="H58" i="13"/>
  <c r="H42" i="13"/>
  <c r="H26" i="13"/>
  <c r="H10" i="13"/>
  <c r="H28" i="13"/>
  <c r="H16" i="13"/>
  <c r="H44" i="13"/>
  <c r="H88" i="13"/>
  <c r="H72" i="13"/>
  <c r="H56" i="13"/>
  <c r="H40" i="13"/>
  <c r="H24" i="13"/>
  <c r="H8" i="13"/>
  <c r="H76" i="13"/>
  <c r="H101" i="13"/>
  <c r="H85" i="13"/>
  <c r="H69" i="13"/>
  <c r="H53" i="13"/>
  <c r="H37" i="13"/>
  <c r="H21" i="13"/>
  <c r="H5" i="13"/>
  <c r="H68" i="13"/>
  <c r="H52" i="13"/>
  <c r="H36" i="13"/>
  <c r="H20" i="13"/>
  <c r="H4" i="13"/>
  <c r="H63" i="13"/>
  <c r="H98" i="13"/>
  <c r="H82" i="13"/>
  <c r="H66" i="13"/>
  <c r="H50" i="13"/>
  <c r="H34" i="13"/>
  <c r="H92" i="13"/>
  <c r="G94" i="13"/>
  <c r="G78" i="13"/>
  <c r="G62" i="13"/>
  <c r="G46" i="13"/>
  <c r="G30" i="13"/>
  <c r="G14" i="13"/>
  <c r="G90" i="13"/>
  <c r="G89" i="13"/>
  <c r="G57" i="13"/>
  <c r="G41" i="13"/>
  <c r="G25" i="13"/>
  <c r="G9" i="13"/>
  <c r="G87" i="13"/>
  <c r="G71" i="13"/>
  <c r="G55" i="13"/>
  <c r="G39" i="13"/>
  <c r="G23" i="13"/>
  <c r="G7" i="13"/>
  <c r="G86" i="13"/>
  <c r="G70" i="13"/>
  <c r="G54" i="13"/>
  <c r="G38" i="13"/>
  <c r="G22" i="13"/>
  <c r="G6" i="13"/>
  <c r="G3" i="13"/>
  <c r="G81" i="13"/>
  <c r="G33" i="13"/>
  <c r="F89" i="13"/>
  <c r="F73" i="13"/>
  <c r="F41" i="13"/>
  <c r="F25" i="13"/>
  <c r="F9" i="13"/>
  <c r="F86" i="13"/>
  <c r="F34" i="13"/>
  <c r="F97" i="13"/>
  <c r="F81" i="13"/>
  <c r="F65" i="13"/>
  <c r="F49" i="13"/>
  <c r="F33" i="13"/>
  <c r="F17" i="13"/>
  <c r="F94" i="13"/>
  <c r="F78" i="13"/>
  <c r="F11" i="13"/>
  <c r="F56" i="13"/>
  <c r="F5" i="13"/>
  <c r="F14" i="13"/>
  <c r="F99" i="13"/>
  <c r="F83" i="13"/>
  <c r="F67" i="13"/>
  <c r="F51" i="13"/>
  <c r="F35" i="13"/>
  <c r="F19" i="13"/>
  <c r="F4" i="13"/>
  <c r="F96" i="13"/>
  <c r="F80" i="13"/>
  <c r="F64" i="13"/>
  <c r="F48" i="13"/>
  <c r="F32" i="13"/>
  <c r="F16" i="13"/>
  <c r="F91" i="13"/>
  <c r="F75" i="13"/>
  <c r="F59" i="13"/>
  <c r="F43" i="13"/>
  <c r="F27" i="13"/>
  <c r="F90" i="13"/>
  <c r="F74" i="13"/>
  <c r="F58" i="13"/>
  <c r="F42" i="13"/>
  <c r="F26" i="13"/>
  <c r="F10" i="13"/>
  <c r="I49" i="13"/>
  <c r="I96" i="13"/>
  <c r="I80" i="13"/>
  <c r="I16" i="13"/>
  <c r="I65" i="13"/>
  <c r="I33" i="13"/>
  <c r="I73" i="13"/>
  <c r="I25" i="13"/>
  <c r="I8" i="13"/>
  <c r="I89" i="13"/>
  <c r="I41" i="13"/>
  <c r="I57" i="13"/>
  <c r="H12" i="13"/>
  <c r="H91" i="13"/>
  <c r="H75" i="13"/>
  <c r="H59" i="13"/>
  <c r="H43" i="13"/>
  <c r="H27" i="13"/>
  <c r="H3" i="13"/>
  <c r="H84" i="13"/>
  <c r="H67" i="13"/>
  <c r="H51" i="13"/>
  <c r="H35" i="13"/>
  <c r="H19" i="13"/>
  <c r="G44" i="13"/>
  <c r="G28" i="13"/>
  <c r="G12" i="13"/>
  <c r="G58" i="13"/>
  <c r="G42" i="13"/>
  <c r="G26" i="13"/>
  <c r="G10" i="13"/>
  <c r="G73" i="13"/>
  <c r="G82" i="13"/>
  <c r="G34" i="13"/>
  <c r="G97" i="13"/>
  <c r="G65" i="13"/>
  <c r="G49" i="13"/>
  <c r="G17" i="13"/>
  <c r="F70" i="13"/>
  <c r="F54" i="13"/>
  <c r="F38" i="13"/>
  <c r="F6" i="13"/>
  <c r="B25" i="1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<sst xmlns="http://schemas.openxmlformats.org/spreadsheetml/2006/main" count="2040" uniqueCount="630">
  <si>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</si>
  <si>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</si>
  <si>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</si>
  <si>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</si>
  <si>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</si>
  <si>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</si>
  <si>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</si>
  <si>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</si>
  <si>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</si>
  <si>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</si>
  <si>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</si>
  <si>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</si>
  <si>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</si>
  <si>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</si>
  <si>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</si>
  <si>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</si>
  <si>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</si>
  <si>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</si>
  <si>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</si>
  <si>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</si>
  <si>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</si>
  <si>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</si>
  <si>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</si>
  <si>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</si>
  <si>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</si>
  <si>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</si>
  <si>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</si>
  <si>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</si>
  <si>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</si>
  <si>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</si>
  <si>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</si>
  <si>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</si>
  <si>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</si>
  <si>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</si>
  <si>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</si>
  <si>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</si>
  <si>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</si>
  <si>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</si>
  <si>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</si>
  <si>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</si>
  <si>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</si>
  <si>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</si>
  <si>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</si>
  <si>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</si>
  <si>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</si>
  <si>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</si>
  <si>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</si>
  <si>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</si>
  <si>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</si>
  <si>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</si>
  <si>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</si>
  <si>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</si>
  <si>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</si>
  <si>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</si>
  <si>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</si>
  <si>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</si>
  <si>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</si>
  <si>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</si>
  <si>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</si>
  <si>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</si>
  <si>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</si>
  <si>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</si>
  <si>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</si>
  <si>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</si>
  <si>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</si>
  <si>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</si>
  <si>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</si>
  <si>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</si>
  <si>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</si>
  <si>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</si>
  <si>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</si>
  <si>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</si>
  <si>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</si>
  <si>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</si>
  <si>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</si>
  <si>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</si>
  <si>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</si>
  <si>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</si>
  <si>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</si>
  <si>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</si>
  <si>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</si>
  <si>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</si>
  <si>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</si>
  <si>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</si>
  <si>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</si>
  <si>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</si>
  <si>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</si>
  <si>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</si>
  <si>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</si>
  <si>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</si>
  <si>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</si>
  <si>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</si>
  <si>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</si>
  <si>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</si>
  <si>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</si>
  <si>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</si>
  <si>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</si>
  <si>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</si>
  <si>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</si>
  <si>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</si>
  <si>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</si>
  <si>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</si>
  <si>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</si>
  <si>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</si>
  <si>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</si>
  <si>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</si>
  <si>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</si>
  <si>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</si>
  <si>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</si>
  <si>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</si>
  <si>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</si>
  <si>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</si>
  <si>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</si>
  <si>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</si>
  <si>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</si>
  <si>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</si>
  <si>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</si>
  <si>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</si>
  <si>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</si>
  <si>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</si>
  <si>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</si>
  <si>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</si>
  <si>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</si>
  <si>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</si>
  <si>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</si>
  <si>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</si>
  <si>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</si>
  <si>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</si>
  <si>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</si>
  <si>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</si>
  <si>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</si>
  <si>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</si>
  <si>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</si>
  <si>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</si>
  <si>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</si>
  <si>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</si>
  <si>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</si>
  <si>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</si>
  <si>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</si>
  <si>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</si>
  <si>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</si>
  <si>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</si>
  <si>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</si>
  <si>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</si>
  <si>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</si>
  <si>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</si>
  <si>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</si>
  <si>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</si>
  <si>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</si>
  <si>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</si>
  <si>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</si>
  <si>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</si>
  <si>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</si>
  <si>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</si>
  <si>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</si>
  <si>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</si>
  <si>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</si>
  <si>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</si>
  <si>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</si>
  <si>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</si>
  <si>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</si>
  <si>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</si>
  <si>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</si>
  <si>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</si>
  <si>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</si>
  <si>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</si>
  <si>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</si>
  <si>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</si>
  <si>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</si>
  <si>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</si>
  <si>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</si>
  <si>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</si>
  <si>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</si>
  <si>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</si>
  <si>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</si>
  <si>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</si>
  <si>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</si>
  <si>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</si>
  <si>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</si>
  <si>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</si>
  <si>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</si>
  <si>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</si>
  <si>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</si>
  <si>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</si>
  <si>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</si>
  <si>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</si>
  <si>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</si>
  <si>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</si>
  <si>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</si>
  <si>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</si>
  <si>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</si>
  <si>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</si>
  <si>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</si>
  <si>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</si>
  <si>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</si>
  <si>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</si>
  <si>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</si>
  <si>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</si>
  <si>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</si>
  <si>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</si>
  <si>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</si>
  <si>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</si>
  <si>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</si>
  <si>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</si>
  <si>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</si>
  <si>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</si>
  <si>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</si>
  <si>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</si>
  <si>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</si>
  <si>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</si>
  <si>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</si>
  <si>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</si>
  <si>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</si>
  <si>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</si>
  <si>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</si>
  <si>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</si>
  <si>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</si>
  <si>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</si>
  <si>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</si>
  <si>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</si>
  <si>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</si>
  <si>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</si>
  <si>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</si>
  <si>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</si>
  <si>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</si>
  <si>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</si>
  <si>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</si>
  <si>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</si>
  <si>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</si>
  <si>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</si>
  <si>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</si>
  <si>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</si>
  <si>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</si>
  <si>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</si>
  <si>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</si>
  <si>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</si>
  <si>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</si>
  <si>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</si>
  <si>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</si>
  <si>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</si>
  <si>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</si>
  <si>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</si>
  <si>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</si>
  <si>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</si>
  <si>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</si>
  <si>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</si>
  <si>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</si>
  <si>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</si>
  <si>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</si>
  <si>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</si>
  <si>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</si>
  <si>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</si>
  <si>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</si>
  <si>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</si>
  <si>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</si>
  <si>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</si>
  <si>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</si>
  <si>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</si>
  <si>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</si>
  <si>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</si>
  <si>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</si>
  <si>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</si>
  <si>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</si>
  <si>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</si>
  <si>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</si>
  <si>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</si>
  <si>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</si>
  <si>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</si>
  <si>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</si>
  <si>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</si>
  <si>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</si>
  <si>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</si>
  <si>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</si>
  <si>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</si>
  <si>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</si>
  <si>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</si>
  <si>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</si>
  <si>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</si>
  <si>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</si>
  <si>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</si>
  <si>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</si>
  <si>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</si>
  <si>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</si>
  <si>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</si>
  <si>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</si>
  <si>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</si>
  <si>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</si>
  <si>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</si>
  <si>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</si>
  <si>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</si>
  <si>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</si>
  <si>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</si>
  <si>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</si>
  <si>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</si>
  <si>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</si>
  <si>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</si>
  <si>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</si>
  <si>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</si>
  <si>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</si>
  <si>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</si>
  <si>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</si>
  <si>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</si>
  <si>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</si>
  <si>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</si>
  <si>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</si>
  <si>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</si>
  <si>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</si>
  <si>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</si>
  <si>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</si>
  <si>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</si>
  <si>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</si>
  <si>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</si>
  <si>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</si>
  <si>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</si>
  <si>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</si>
  <si>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</si>
  <si>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</si>
  <si>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</si>
  <si>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</si>
  <si>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</si>
  <si>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</si>
  <si>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</si>
  <si>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</si>
  <si>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</si>
  <si>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</si>
  <si>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</si>
  <si>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</si>
  <si>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</si>
  <si>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</si>
  <si>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</si>
  <si>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</si>
  <si>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</si>
  <si>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</si>
  <si>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</si>
  <si>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</si>
  <si>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</si>
  <si>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</si>
  <si>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</si>
  <si>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</si>
  <si>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</si>
  <si>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</si>
  <si>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</si>
  <si>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</si>
  <si>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</si>
  <si>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</si>
  <si>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</si>
  <si>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</si>
  <si>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</si>
  <si>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</si>
  <si>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</si>
  <si>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</si>
  <si>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</si>
  <si>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</si>
  <si>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</si>
  <si>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</si>
  <si>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</si>
  <si>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</si>
  <si>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</si>
  <si>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</si>
  <si>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</si>
  <si>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</si>
  <si>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</si>
  <si>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</si>
  <si>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</si>
  <si>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</si>
  <si>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</si>
  <si>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</si>
  <si>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</si>
  <si>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</si>
  <si>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</si>
  <si>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</si>
  <si>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</si>
  <si>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</si>
  <si>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</si>
  <si>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</si>
  <si>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</si>
  <si>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</si>
  <si>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</si>
  <si>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</si>
  <si>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</si>
  <si>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</si>
  <si>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</si>
  <si>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</si>
  <si>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</si>
  <si>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</si>
  <si>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</si>
  <si>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</si>
  <si>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</si>
  <si>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</si>
  <si>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</si>
  <si>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</si>
  <si>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</si>
  <si>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</si>
  <si>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</si>
  <si>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</si>
  <si>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</si>
  <si>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</si>
  <si>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</si>
  <si>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</si>
  <si>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</si>
  <si>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</si>
  <si>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</si>
  <si>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</si>
  <si>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</si>
  <si>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</si>
  <si>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</si>
  <si>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</si>
  <si>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</si>
  <si>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</si>
  <si>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</si>
  <si>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</si>
  <si>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</si>
  <si>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</si>
  <si>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</si>
  <si>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</si>
  <si>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</si>
  <si>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</si>
  <si>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</si>
  <si>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</si>
  <si>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</si>
  <si>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</si>
  <si>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</si>
  <si>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</si>
  <si>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</si>
  <si>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</si>
  <si>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</si>
  <si>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</si>
  <si>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</si>
  <si>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</si>
  <si>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</si>
  <si>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</si>
  <si>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</si>
  <si>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</si>
  <si>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</si>
  <si>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</si>
  <si>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</si>
  <si>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</si>
  <si>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</si>
  <si>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</si>
  <si>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</si>
  <si>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</si>
  <si>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</si>
  <si>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</si>
  <si>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</si>
  <si>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</si>
  <si>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</si>
  <si>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</si>
  <si>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</si>
  <si>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</si>
  <si>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</si>
  <si>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</si>
  <si>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</si>
  <si>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</si>
  <si>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</si>
  <si>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</si>
  <si>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</si>
  <si>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</si>
  <si>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</si>
  <si>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</si>
  <si>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</si>
  <si>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</si>
  <si>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</si>
  <si>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</si>
  <si>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</si>
  <si>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</si>
  <si>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</si>
  <si>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</si>
  <si>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</si>
  <si>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</si>
  <si>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</si>
  <si>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</si>
  <si>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</si>
  <si>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</si>
  <si>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</si>
  <si>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</si>
  <si>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</si>
  <si>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</si>
  <si>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</si>
  <si>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</si>
  <si>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</si>
  <si>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</si>
  <si>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</si>
  <si>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</si>
  <si>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</si>
  <si>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</si>
  <si>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</si>
  <si>
    <t>main_stat_type</t>
  </si>
  <si>
    <t>main_stat_valuie</t>
  </si>
  <si>
    <t>modifier_type</t>
  </si>
  <si>
    <t>Curve_R</t>
  </si>
  <si>
    <t>Curve_SR</t>
  </si>
  <si>
    <t>Curve_SSR</t>
  </si>
  <si>
    <t>Curve_UR</t>
  </si>
  <si>
    <t>exp_base</t>
  </si>
  <si>
    <t>exp_exponent</t>
  </si>
  <si>
    <t>Curve_R_up</t>
  </si>
  <si>
    <t>Curve_SR_up</t>
  </si>
  <si>
    <t>Curve_SSR_up</t>
  </si>
  <si>
    <t>Curve_UR_up</t>
  </si>
  <si>
    <t>Tier</t>
  </si>
  <si>
    <t>Required_Level</t>
  </si>
  <si>
    <t>Unlock_Max_Level</t>
  </si>
  <si>
    <t>ItemID_01</t>
  </si>
  <si>
    <t>Item_01_Qty</t>
  </si>
  <si>
    <t>ascension_r</t>
  </si>
  <si>
    <t>ascension_sr</t>
  </si>
  <si>
    <t>ascension_ssr</t>
  </si>
  <si>
    <t>ascension_ur</t>
  </si>
  <si>
    <t>Cost_Coin</t>
  </si>
  <si>
    <t>Quanlity</t>
  </si>
  <si>
    <t>starup_r</t>
  </si>
  <si>
    <t>starup_sr</t>
  </si>
  <si>
    <t>starup_ssr</t>
  </si>
  <si>
    <t>starup_ur</t>
  </si>
  <si>
    <t>Pieces_Required</t>
  </si>
  <si>
    <t>Bonus_Stat_Type</t>
  </si>
  <si>
    <t>Bonus_Value</t>
  </si>
  <si>
    <t>Modifier_Type</t>
  </si>
  <si>
    <t>PassiveID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</si>
  <si>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</si>
  <si>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</si>
  <si>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</si>
  <si>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</si>
  <si>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</si>
  <si>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</si>
  <si>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</si>
  <si>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</si>
  <si>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</si>
  <si>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</si>
  <si>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</si>
  <si>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</si>
  <si>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</si>
  <si>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</si>
  <si>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psv_nimbus_cudgel</t>
  </si>
  <si>
    <t>psv_triple_edged_blade</t>
  </si>
  <si>
    <t>psv_vanguard_of_volition</t>
  </si>
  <si>
    <t>psv_ninefold_staff</t>
  </si>
  <si>
    <t>psv_nine_toothed_rake</t>
  </si>
  <si>
    <t>psv_nimbus_cloud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</si>
  <si>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</si>
  <si>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</si>
  <si>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</si>
  <si>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</si>
  <si>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</si>
  <si>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</si>
  <si>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</si>
  <si>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psv_wings_of_phoenix</t>
  </si>
  <si>
    <t>Tấn công và phòng thủ tăng {0}%. Sau khi thi triển kỹ năng không phải tấn công, có {1}% xác suất hiệp hồi chiêu -1.</t>
  </si>
  <si>
    <t>Hiệu quả chính xác tăng {0}%. Khi bắt đầu hiệp, nếu bản thân có hiệu ứng suy yếu, có {1}% xác suất xóa 1 hiệu ứng suy yếu.</t>
  </si>
  <si>
    <t>passive_id</t>
  </si>
  <si>
    <t>stat_type</t>
  </si>
  <si>
    <t>modify_type</t>
  </si>
  <si>
    <t>modify_by_upgrade</t>
  </si>
  <si>
    <t>CRIT_DMG</t>
  </si>
  <si>
    <t>CRIT_RATE</t>
  </si>
  <si>
    <t>EHR</t>
  </si>
  <si>
    <t>RES</t>
  </si>
  <si>
    <t>event_type</t>
  </si>
  <si>
    <t>effect_id</t>
  </si>
  <si>
    <t>OnTakeDamage</t>
  </si>
  <si>
    <t>condition_filter</t>
  </si>
  <si>
    <t>SingleTarget</t>
  </si>
  <si>
    <t>SingleTarget, TargetAlive</t>
  </si>
  <si>
    <t>HasDebuff</t>
  </si>
  <si>
    <t>effect_param</t>
  </si>
  <si>
    <t>SingleTarget, TargetDead</t>
  </si>
  <si>
    <t>IsSkill, SingleTarget, TargetDead</t>
  </si>
  <si>
    <t>AoEAttack</t>
  </si>
  <si>
    <t>NonAttackSkill</t>
  </si>
  <si>
    <t>internal_cooldown</t>
  </si>
  <si>
    <t>SkillType</t>
  </si>
  <si>
    <t>BasicAttack</t>
  </si>
  <si>
    <t>ActiveSkill</t>
  </si>
  <si>
    <t>10, 15, 20, 25, 30, 34</t>
  </si>
  <si>
    <t>10, 15, 20, 25, 31, 34</t>
  </si>
  <si>
    <t>5, 7.5, 10, 12.5, 16, 20</t>
  </si>
  <si>
    <t>10, 15, 20, 25, 35, 40</t>
  </si>
  <si>
    <t>5, 7.5, 10, 12.5, 17,, 21</t>
  </si>
  <si>
    <t>5, 7.5, 10, 12.5, 17,, 22</t>
  </si>
  <si>
    <t>5, 7.5, 10, 12.5, 17,, 23</t>
  </si>
  <si>
    <t>5, 7.5, 10, 12.5, 17,, 24</t>
  </si>
  <si>
    <t>10, 15, 20, 25, 34, 40</t>
  </si>
  <si>
    <t>10, 15, 20, 25, 34, 41</t>
  </si>
  <si>
    <t>10.0, 15.0, 20.0, 25.0, 30.0, 40.0</t>
  </si>
  <si>
    <t>30.0, 40.0, 50.0, 60.0, 70.0, 80.0</t>
  </si>
  <si>
    <t>4.0, 5.0, 6.0, 7.0, 8.0, 10.0</t>
  </si>
  <si>
    <t>40.0, 50.0, 60.0, 70.0, 80.0, 90.0</t>
  </si>
  <si>
    <t>substat_pool_id</t>
  </si>
  <si>
    <t>StatType</t>
  </si>
  <si>
    <t>Min</t>
  </si>
  <si>
    <t>Max</t>
  </si>
  <si>
    <t>Warrior_Pool</t>
  </si>
  <si>
    <t>PEN</t>
  </si>
  <si>
    <t>CRIT_DMG_RES</t>
  </si>
  <si>
    <t>psv_sunwukong_ultiamte</t>
  </si>
  <si>
    <t>SunWukong_M_Des</t>
  </si>
  <si>
    <t>SunWukong_U_Des</t>
  </si>
  <si>
    <t>Gây {0}% ST Tấn Công cho toàn bộ kẻ định đồng thời hồi {1}% ST gây ra.</t>
  </si>
  <si>
    <t>Gây {0}% ST Tấn Công cho kẻ định, kèm thêm Giảm Phòng Thù cho mục tiêu, duy trì 2 hiệp.</t>
  </si>
  <si>
    <t>Eff_Action_Point_Boost</t>
  </si>
  <si>
    <t>Eff_Reduce_Cooldown</t>
  </si>
  <si>
    <t>Eff_FollowUp_BasicAttack</t>
  </si>
  <si>
    <t>Eff_Stackable_DEF_Buff</t>
  </si>
  <si>
    <t>Eff_Lacerate_Debuff</t>
  </si>
  <si>
    <t>Eff_Apply_Mark_Debuff</t>
  </si>
  <si>
    <t>Eff_Dispel_Self_Debuff</t>
  </si>
  <si>
    <t>20, 30</t>
  </si>
  <si>
    <t>0.8, 1, 1.2</t>
  </si>
  <si>
    <t>1, 1.5, 1.5</t>
  </si>
  <si>
    <t>4.0, 4.0, 3.0</t>
  </si>
  <si>
    <t>1.5, 1.8, 1.8</t>
  </si>
  <si>
    <t>5.0, 5.0, 4.0</t>
  </si>
  <si>
    <t>0, 0, 0</t>
  </si>
  <si>
    <t>1, 1, 1</t>
  </si>
  <si>
    <t>UltimateSkill</t>
  </si>
  <si>
    <t>MajorSkill</t>
  </si>
  <si>
    <t>psv_sunwukong_major</t>
  </si>
  <si>
    <t>OnAfterSkillExcute</t>
  </si>
  <si>
    <t>OnSkillStart</t>
  </si>
  <si>
    <t>OnAfterTakeDamage</t>
  </si>
  <si>
    <t>OnAfterDealDamage</t>
  </si>
  <si>
    <t>OnBeforeDealDamage</t>
  </si>
  <si>
    <t>OnAfterSkillExecute</t>
  </si>
  <si>
    <t>target</t>
  </si>
  <si>
    <t>self</t>
  </si>
  <si>
    <t>enemy</t>
  </si>
  <si>
    <t>Eff_ReduceDefense</t>
  </si>
  <si>
    <t>Eff_Cleanse</t>
  </si>
  <si>
    <t xml:space="preserve">Eff_IncreaseAttack </t>
  </si>
  <si>
    <t>Eff_Lifesteal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</si>
</sst>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0" borderId="0" xfId="0" applyFont="1" applyAlignment="1">
      <alignment vertical="center" readingOrder="1"/>
    </xf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Fill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8" workbookViewId="0">
      <selection activeCell="A8" sqref="A8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F25" sqref="F2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bestFit="1" customWidth="1"/>
    <col min="2" max="2" width="8.42578125" bestFit="1" customWidth="1"/>
    <col min="7" max="7" width="24.7109375" bestFit="1" customWidth="1"/>
  </cols>
  <sheetData>
    <row r="1" spans="1:7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518</v>
      </c>
    </row>
    <row r="2" spans="1:7" x14ac:dyDescent="0.25">
      <c r="A2" t="s">
        <v>6</v>
      </c>
      <c r="B2" s="8" t="s">
        <v>73</v>
      </c>
      <c r="C2" s="9">
        <v>685</v>
      </c>
      <c r="D2" s="9">
        <v>165</v>
      </c>
      <c r="E2" s="10">
        <v>42</v>
      </c>
      <c r="F2" s="10">
        <v>27</v>
      </c>
      <c r="G2" s="34" t="s">
        <v>533</v>
      </c>
    </row>
    <row r="3" spans="1:7" x14ac:dyDescent="0.25">
      <c r="A3" t="s">
        <v>7</v>
      </c>
      <c r="B3" s="8" t="s">
        <v>73</v>
      </c>
      <c r="C3" s="9">
        <v>757</v>
      </c>
      <c r="D3" s="9">
        <v>151</v>
      </c>
      <c r="E3" s="10">
        <v>43</v>
      </c>
      <c r="F3" s="10">
        <v>25</v>
      </c>
      <c r="G3" s="34" t="s">
        <v>534</v>
      </c>
    </row>
    <row r="4" spans="1:7" x14ac:dyDescent="0.25">
      <c r="A4" t="s">
        <v>8</v>
      </c>
      <c r="B4" s="8" t="s">
        <v>74</v>
      </c>
      <c r="C4" s="9">
        <v>615</v>
      </c>
      <c r="D4" s="9">
        <v>236</v>
      </c>
      <c r="E4" s="10">
        <v>41</v>
      </c>
      <c r="F4" s="10">
        <v>29</v>
      </c>
      <c r="G4" s="34" t="s">
        <v>535</v>
      </c>
    </row>
    <row r="5" spans="1:7" x14ac:dyDescent="0.25">
      <c r="A5" t="s">
        <v>9</v>
      </c>
      <c r="B5" s="8" t="s">
        <v>75</v>
      </c>
      <c r="C5" s="9">
        <v>458</v>
      </c>
      <c r="D5" s="9">
        <v>78</v>
      </c>
      <c r="E5" s="10">
        <v>21</v>
      </c>
      <c r="F5" s="10">
        <v>14</v>
      </c>
      <c r="G5" s="34" t="s">
        <v>536</v>
      </c>
    </row>
    <row r="6" spans="1:7" x14ac:dyDescent="0.25">
      <c r="A6" t="s">
        <v>10</v>
      </c>
      <c r="B6" s="8" t="s">
        <v>76</v>
      </c>
      <c r="C6" s="9">
        <v>683</v>
      </c>
      <c r="D6" s="9">
        <v>90</v>
      </c>
      <c r="E6" s="10">
        <v>45</v>
      </c>
      <c r="F6" s="10">
        <v>16</v>
      </c>
      <c r="G6" s="34" t="s">
        <v>537</v>
      </c>
    </row>
    <row r="7" spans="1:7" x14ac:dyDescent="0.25">
      <c r="A7" t="s">
        <v>11</v>
      </c>
      <c r="B7" s="8" t="s">
        <v>75</v>
      </c>
      <c r="C7" s="9">
        <v>458</v>
      </c>
      <c r="D7" s="9">
        <v>74</v>
      </c>
      <c r="E7" s="10">
        <v>21</v>
      </c>
      <c r="F7" s="10">
        <v>13</v>
      </c>
      <c r="G7" s="34" t="s">
        <v>538</v>
      </c>
    </row>
    <row r="8" spans="1:7" x14ac:dyDescent="0.25">
      <c r="A8" t="s">
        <v>12</v>
      </c>
      <c r="B8" s="8" t="s">
        <v>77</v>
      </c>
      <c r="C8" s="9">
        <v>256</v>
      </c>
      <c r="D8" s="9">
        <v>53</v>
      </c>
      <c r="E8" s="10">
        <v>13</v>
      </c>
      <c r="F8" s="10">
        <v>10</v>
      </c>
      <c r="G8" s="34" t="s">
        <v>539</v>
      </c>
    </row>
    <row r="9" spans="1:7" x14ac:dyDescent="0.25">
      <c r="A9" t="s">
        <v>13</v>
      </c>
      <c r="B9" s="8" t="s">
        <v>74</v>
      </c>
      <c r="C9" s="9">
        <v>560</v>
      </c>
      <c r="D9" s="9">
        <v>143</v>
      </c>
      <c r="E9" s="10">
        <v>36</v>
      </c>
      <c r="F9" s="10">
        <v>24</v>
      </c>
      <c r="G9" s="34" t="s">
        <v>540</v>
      </c>
    </row>
    <row r="10" spans="1:7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</v>
      </c>
      <c r="F10" s="10">
        <v>12</v>
      </c>
      <c r="G10" s="34" t="s">
        <v>541</v>
      </c>
    </row>
    <row r="11" spans="1:7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</v>
      </c>
      <c r="F11" s="10">
        <v>10</v>
      </c>
      <c r="G11" s="34" t="s">
        <v>542</v>
      </c>
    </row>
    <row r="12" spans="1:7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</v>
      </c>
      <c r="F12" s="10">
        <v>11</v>
      </c>
      <c r="G12" s="34" t="s">
        <v>543</v>
      </c>
    </row>
    <row r="13" spans="1:7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</v>
      </c>
      <c r="F13" s="10">
        <v>23</v>
      </c>
      <c r="G13" s="34" t="s">
        <v>544</v>
      </c>
    </row>
    <row r="14" spans="1:7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</v>
      </c>
      <c r="F14" s="10">
        <v>21</v>
      </c>
      <c r="G14" s="34" t="s">
        <v>545</v>
      </c>
    </row>
    <row r="15" spans="1:7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</v>
      </c>
      <c r="F15" s="10">
        <v>21</v>
      </c>
      <c r="G15" s="34" t="s">
        <v>546</v>
      </c>
    </row>
    <row r="16" spans="1:7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</v>
      </c>
      <c r="F16" s="10">
        <v>27</v>
      </c>
      <c r="G16" s="35" t="s">
        <v>535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C39" sqref="C39"/>
    </sheetView>
  </sheetViews>
  <sheetFormatPr defaultRowHeight="15" x14ac:dyDescent="0.25"/>
  <cols>
    <col min="1" max="1" width="24.7109375" bestFit="1" customWidth="1"/>
    <col min="2" max="2" width="34.7109375" bestFit="1" customWidth="1"/>
    <col min="3" max="3" width="102.7109375" customWidth="1"/>
  </cols>
  <sheetData>
    <row r="1" spans="1:3" x14ac:dyDescent="0.25">
      <c r="A1" s="18" t="s">
        <v>0</v>
      </c>
      <c r="B1" s="18" t="s">
        <v>519</v>
      </c>
      <c r="C1" s="18" t="s">
        <v>520</v>
      </c>
    </row>
    <row r="2" spans="1:3" x14ac:dyDescent="0.25">
      <c r="A2" s="34" t="s">
        <v>533</v>
      </c>
      <c r="B2" t="s">
        <v>48</v>
      </c>
      <c r="C2" t="s">
        <v>521</v>
      </c>
    </row>
    <row r="3" spans="1:3" x14ac:dyDescent="0.25">
      <c r="A3" s="34" t="s">
        <v>534</v>
      </c>
      <c r="B3" t="s">
        <v>49</v>
      </c>
      <c r="C3" t="s">
        <v>522</v>
      </c>
    </row>
    <row r="4" spans="1:3" x14ac:dyDescent="0.25">
      <c r="A4" s="34" t="s">
        <v>535</v>
      </c>
      <c r="B4" t="s">
        <v>50</v>
      </c>
      <c r="C4" t="s">
        <v>523</v>
      </c>
    </row>
    <row r="5" spans="1:3" x14ac:dyDescent="0.25">
      <c r="A5" s="34" t="s">
        <v>536</v>
      </c>
      <c r="B5" t="s">
        <v>51</v>
      </c>
      <c r="C5" t="s">
        <v>548</v>
      </c>
    </row>
    <row r="6" spans="1:3" x14ac:dyDescent="0.25">
      <c r="A6" s="34" t="s">
        <v>537</v>
      </c>
      <c r="B6" t="s">
        <v>52</v>
      </c>
      <c r="C6" t="s">
        <v>524</v>
      </c>
    </row>
    <row r="7" spans="1:3" x14ac:dyDescent="0.25">
      <c r="A7" s="34" t="s">
        <v>538</v>
      </c>
      <c r="B7" t="s">
        <v>53</v>
      </c>
      <c r="C7" t="s">
        <v>525</v>
      </c>
    </row>
    <row r="8" spans="1:3" x14ac:dyDescent="0.25">
      <c r="A8" s="34" t="s">
        <v>539</v>
      </c>
      <c r="B8" t="s">
        <v>54</v>
      </c>
      <c r="C8" t="s">
        <v>526</v>
      </c>
    </row>
    <row r="9" spans="1:3" x14ac:dyDescent="0.25">
      <c r="A9" s="34" t="s">
        <v>540</v>
      </c>
      <c r="B9" t="s">
        <v>55</v>
      </c>
      <c r="C9" t="s">
        <v>527</v>
      </c>
    </row>
    <row r="10" spans="1:3" x14ac:dyDescent="0.25">
      <c r="A10" s="34" t="s">
        <v>541</v>
      </c>
      <c r="B10" t="s">
        <v>56</v>
      </c>
      <c r="C10" t="s">
        <v>528</v>
      </c>
    </row>
    <row r="11" spans="1:3" x14ac:dyDescent="0.25">
      <c r="A11" s="34" t="s">
        <v>542</v>
      </c>
      <c r="B11" t="s">
        <v>57</v>
      </c>
      <c r="C11" t="s">
        <v>529</v>
      </c>
    </row>
    <row r="12" spans="1:3" x14ac:dyDescent="0.25">
      <c r="A12" s="34" t="s">
        <v>543</v>
      </c>
      <c r="B12" t="s">
        <v>58</v>
      </c>
      <c r="C12" t="s">
        <v>530</v>
      </c>
    </row>
    <row r="13" spans="1:3" x14ac:dyDescent="0.25">
      <c r="A13" s="34" t="s">
        <v>544</v>
      </c>
      <c r="B13" t="s">
        <v>59</v>
      </c>
      <c r="C13" t="s">
        <v>547</v>
      </c>
    </row>
    <row r="14" spans="1:3" x14ac:dyDescent="0.25">
      <c r="A14" s="34" t="s">
        <v>545</v>
      </c>
      <c r="B14" t="s">
        <v>60</v>
      </c>
      <c r="C14" t="s">
        <v>531</v>
      </c>
    </row>
    <row r="15" spans="1:3" x14ac:dyDescent="0.25">
      <c r="A15" s="34" t="s">
        <v>546</v>
      </c>
      <c r="B15" t="s">
        <v>61</v>
      </c>
      <c r="C15" t="s">
        <v>532</v>
      </c>
    </row>
    <row r="16" spans="1:3" x14ac:dyDescent="0.25">
      <c r="A16" s="34" t="s">
        <v>616</v>
      </c>
      <c r="B16" t="s">
        <v>595</v>
      </c>
      <c r="C16" t="s">
        <v>597</v>
      </c>
    </row>
    <row r="17" spans="1:3" x14ac:dyDescent="0.25">
      <c r="A17" s="34" t="s">
        <v>594</v>
      </c>
      <c r="B17" t="s">
        <v>596</v>
      </c>
      <c r="C17" t="s">
        <v>598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E32" sqref="E32"/>
    </sheetView>
  </sheetViews>
  <sheetFormatPr defaultRowHeight="15" x14ac:dyDescent="0.25"/>
  <cols>
    <col min="1" max="1" width="24.7109375" bestFit="1" customWidth="1"/>
    <col min="2" max="2" width="13.28515625" customWidth="1"/>
    <col min="3" max="3" width="16.28515625" customWidth="1"/>
    <col min="4" max="4" width="20.5703125" customWidth="1"/>
    <col min="5" max="5" width="72.5703125" customWidth="1"/>
  </cols>
  <sheetData>
    <row r="1" spans="1:5" x14ac:dyDescent="0.25">
      <c r="A1" s="18" t="s">
        <v>549</v>
      </c>
      <c r="B1" s="18" t="s">
        <v>550</v>
      </c>
      <c r="C1" s="18" t="s">
        <v>551</v>
      </c>
      <c r="D1" s="18" t="s">
        <v>552</v>
      </c>
      <c r="E1" s="18" t="s">
        <v>520</v>
      </c>
    </row>
    <row r="2" spans="1:5" x14ac:dyDescent="0.25">
      <c r="A2" s="36" t="s">
        <v>533</v>
      </c>
      <c r="B2" s="7" t="s">
        <v>70</v>
      </c>
      <c r="C2" s="7" t="s">
        <v>444</v>
      </c>
      <c r="D2" t="s">
        <v>573</v>
      </c>
      <c r="E2" t="s">
        <v>521</v>
      </c>
    </row>
    <row r="3" spans="1:5" x14ac:dyDescent="0.25">
      <c r="A3" s="36" t="s">
        <v>533</v>
      </c>
      <c r="B3" s="7" t="s">
        <v>419</v>
      </c>
      <c r="C3" s="7" t="s">
        <v>444</v>
      </c>
      <c r="D3" t="s">
        <v>573</v>
      </c>
      <c r="E3" t="s">
        <v>521</v>
      </c>
    </row>
    <row r="4" spans="1:5" x14ac:dyDescent="0.25">
      <c r="A4" s="34" t="s">
        <v>534</v>
      </c>
      <c r="B4" s="7" t="s">
        <v>553</v>
      </c>
      <c r="C4" s="7" t="s">
        <v>444</v>
      </c>
      <c r="D4" t="s">
        <v>574</v>
      </c>
      <c r="E4" t="s">
        <v>522</v>
      </c>
    </row>
    <row r="5" spans="1:5" x14ac:dyDescent="0.25">
      <c r="A5" s="34" t="s">
        <v>535</v>
      </c>
      <c r="B5" s="7" t="s">
        <v>553</v>
      </c>
      <c r="C5" s="7" t="s">
        <v>444</v>
      </c>
      <c r="D5" t="s">
        <v>574</v>
      </c>
      <c r="E5" t="s">
        <v>523</v>
      </c>
    </row>
    <row r="6" spans="1:5" x14ac:dyDescent="0.25">
      <c r="A6" s="34" t="s">
        <v>536</v>
      </c>
      <c r="B6" s="7" t="s">
        <v>555</v>
      </c>
      <c r="C6" s="7" t="s">
        <v>444</v>
      </c>
      <c r="D6" t="s">
        <v>574</v>
      </c>
      <c r="E6" t="s">
        <v>548</v>
      </c>
    </row>
    <row r="7" spans="1:5" x14ac:dyDescent="0.25">
      <c r="A7" s="36" t="s">
        <v>537</v>
      </c>
      <c r="B7" s="7" t="s">
        <v>69</v>
      </c>
      <c r="C7" s="7" t="s">
        <v>444</v>
      </c>
      <c r="D7" t="s">
        <v>575</v>
      </c>
      <c r="E7" t="s">
        <v>524</v>
      </c>
    </row>
    <row r="8" spans="1:5" x14ac:dyDescent="0.25">
      <c r="A8" s="36" t="s">
        <v>537</v>
      </c>
      <c r="B8" s="7" t="s">
        <v>555</v>
      </c>
      <c r="C8" s="7" t="s">
        <v>444</v>
      </c>
      <c r="D8" t="s">
        <v>575</v>
      </c>
      <c r="E8" t="s">
        <v>524</v>
      </c>
    </row>
    <row r="9" spans="1:5" x14ac:dyDescent="0.25">
      <c r="A9" s="34" t="s">
        <v>540</v>
      </c>
      <c r="B9" s="7" t="s">
        <v>70</v>
      </c>
      <c r="C9" s="7" t="s">
        <v>444</v>
      </c>
      <c r="D9" t="s">
        <v>576</v>
      </c>
      <c r="E9" t="s">
        <v>527</v>
      </c>
    </row>
    <row r="10" spans="1:5" x14ac:dyDescent="0.25">
      <c r="A10" s="34" t="s">
        <v>541</v>
      </c>
      <c r="B10" s="7" t="s">
        <v>554</v>
      </c>
      <c r="C10" s="7" t="s">
        <v>444</v>
      </c>
      <c r="D10" t="s">
        <v>575</v>
      </c>
      <c r="E10" t="s">
        <v>528</v>
      </c>
    </row>
    <row r="11" spans="1:5" x14ac:dyDescent="0.25">
      <c r="A11" s="34" t="s">
        <v>542</v>
      </c>
      <c r="B11" s="7" t="s">
        <v>553</v>
      </c>
      <c r="C11" s="7" t="s">
        <v>444</v>
      </c>
      <c r="D11" t="s">
        <v>577</v>
      </c>
      <c r="E11" t="s">
        <v>529</v>
      </c>
    </row>
    <row r="12" spans="1:5" x14ac:dyDescent="0.25">
      <c r="A12" s="34" t="s">
        <v>543</v>
      </c>
      <c r="B12" s="7" t="s">
        <v>420</v>
      </c>
      <c r="C12" s="7" t="s">
        <v>444</v>
      </c>
      <c r="D12" t="s">
        <v>578</v>
      </c>
      <c r="E12" t="s">
        <v>530</v>
      </c>
    </row>
    <row r="13" spans="1:5" x14ac:dyDescent="0.25">
      <c r="A13" s="36" t="s">
        <v>544</v>
      </c>
      <c r="B13" s="7" t="s">
        <v>419</v>
      </c>
      <c r="C13" s="7" t="s">
        <v>444</v>
      </c>
      <c r="D13" t="s">
        <v>579</v>
      </c>
      <c r="E13" t="s">
        <v>547</v>
      </c>
    </row>
    <row r="14" spans="1:5" x14ac:dyDescent="0.25">
      <c r="A14" s="36" t="s">
        <v>544</v>
      </c>
      <c r="B14" s="7" t="s">
        <v>70</v>
      </c>
      <c r="C14" s="7" t="s">
        <v>444</v>
      </c>
      <c r="D14" t="s">
        <v>580</v>
      </c>
      <c r="E14" t="s">
        <v>547</v>
      </c>
    </row>
    <row r="15" spans="1:5" x14ac:dyDescent="0.25">
      <c r="A15" s="34" t="s">
        <v>545</v>
      </c>
      <c r="B15" s="7" t="s">
        <v>555</v>
      </c>
      <c r="C15" s="7" t="s">
        <v>444</v>
      </c>
      <c r="D15" t="s">
        <v>581</v>
      </c>
      <c r="E15" t="s">
        <v>531</v>
      </c>
    </row>
    <row r="16" spans="1:5" x14ac:dyDescent="0.25">
      <c r="A16" s="34" t="s">
        <v>546</v>
      </c>
      <c r="B16" s="7" t="s">
        <v>556</v>
      </c>
      <c r="C16" s="7" t="s">
        <v>444</v>
      </c>
      <c r="D16" t="s">
        <v>582</v>
      </c>
      <c r="E16" t="s">
        <v>532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tabSelected="1" zoomScale="115" zoomScaleNormal="115" workbookViewId="0">
      <selection activeCell="C15" sqref="C15"/>
    </sheetView>
  </sheetViews>
  <sheetFormatPr defaultRowHeight="15" x14ac:dyDescent="0.25"/>
  <cols>
    <col min="1" max="1" width="26.7109375" customWidth="1"/>
    <col min="2" max="2" width="19.7109375" bestFit="1" customWidth="1"/>
    <col min="3" max="3" width="31.5703125" customWidth="1"/>
    <col min="4" max="4" width="35.28515625" customWidth="1"/>
    <col min="5" max="5" width="30" bestFit="1" customWidth="1"/>
    <col min="6" max="8" width="23.28515625" customWidth="1"/>
    <col min="9" max="9" width="67.42578125" customWidth="1"/>
  </cols>
  <sheetData>
    <row r="1" spans="1:9" x14ac:dyDescent="0.25">
      <c r="A1" s="18" t="s">
        <v>549</v>
      </c>
      <c r="B1" s="18" t="s">
        <v>557</v>
      </c>
      <c r="C1" s="18" t="s">
        <v>558</v>
      </c>
      <c r="D1" s="18" t="s">
        <v>552</v>
      </c>
      <c r="E1" s="18" t="s">
        <v>560</v>
      </c>
      <c r="F1" s="18" t="s">
        <v>564</v>
      </c>
      <c r="G1" s="18" t="s">
        <v>569</v>
      </c>
      <c r="H1" s="18" t="s">
        <v>623</v>
      </c>
      <c r="I1" s="18" t="s">
        <v>520</v>
      </c>
    </row>
    <row r="2" spans="1:9" x14ac:dyDescent="0.25">
      <c r="A2" s="34" t="s">
        <v>533</v>
      </c>
      <c r="B2" t="s">
        <v>617</v>
      </c>
      <c r="C2" t="s">
        <v>599</v>
      </c>
      <c r="D2" t="s">
        <v>583</v>
      </c>
      <c r="E2" t="s">
        <v>565</v>
      </c>
      <c r="F2" s="8">
        <v>0</v>
      </c>
      <c r="G2" s="8"/>
      <c r="H2" s="8" t="s">
        <v>624</v>
      </c>
      <c r="I2" t="s">
        <v>521</v>
      </c>
    </row>
    <row r="3" spans="1:9" x14ac:dyDescent="0.25">
      <c r="A3" s="34" t="s">
        <v>534</v>
      </c>
      <c r="B3" t="s">
        <v>617</v>
      </c>
      <c r="C3" t="s">
        <v>600</v>
      </c>
      <c r="D3" t="s">
        <v>584</v>
      </c>
      <c r="E3" t="s">
        <v>566</v>
      </c>
      <c r="F3" s="8">
        <v>1</v>
      </c>
      <c r="G3" s="8">
        <v>0</v>
      </c>
      <c r="H3" s="8" t="s">
        <v>624</v>
      </c>
      <c r="I3" t="s">
        <v>522</v>
      </c>
    </row>
    <row r="4" spans="1:9" x14ac:dyDescent="0.25">
      <c r="A4" s="38" t="s">
        <v>535</v>
      </c>
      <c r="B4" t="s">
        <v>617</v>
      </c>
      <c r="C4" t="s">
        <v>601</v>
      </c>
      <c r="D4" t="s">
        <v>584</v>
      </c>
      <c r="E4" t="s">
        <v>562</v>
      </c>
      <c r="F4" s="8"/>
      <c r="G4" s="8">
        <v>1</v>
      </c>
      <c r="H4" s="8" t="s">
        <v>624</v>
      </c>
      <c r="I4" t="s">
        <v>523</v>
      </c>
    </row>
    <row r="5" spans="1:9" x14ac:dyDescent="0.25">
      <c r="A5" s="34" t="s">
        <v>536</v>
      </c>
      <c r="B5" t="s">
        <v>618</v>
      </c>
      <c r="C5" t="s">
        <v>627</v>
      </c>
      <c r="D5" t="s">
        <v>584</v>
      </c>
      <c r="E5" t="s">
        <v>563</v>
      </c>
      <c r="F5" s="8">
        <v>1</v>
      </c>
      <c r="G5" s="8">
        <v>0</v>
      </c>
      <c r="H5" s="8" t="s">
        <v>624</v>
      </c>
      <c r="I5" t="s">
        <v>548</v>
      </c>
    </row>
    <row r="6" spans="1:9" x14ac:dyDescent="0.25">
      <c r="A6" s="34" t="s">
        <v>537</v>
      </c>
      <c r="B6" t="s">
        <v>559</v>
      </c>
      <c r="C6" t="s">
        <v>602</v>
      </c>
      <c r="D6" t="s">
        <v>585</v>
      </c>
      <c r="E6" s="37" t="s">
        <v>561</v>
      </c>
      <c r="F6" s="8">
        <v>6</v>
      </c>
      <c r="G6" s="8">
        <v>0</v>
      </c>
      <c r="H6" s="8" t="s">
        <v>624</v>
      </c>
      <c r="I6" t="s">
        <v>524</v>
      </c>
    </row>
    <row r="7" spans="1:9" x14ac:dyDescent="0.25">
      <c r="A7" s="34" t="s">
        <v>538</v>
      </c>
      <c r="B7" t="s">
        <v>619</v>
      </c>
      <c r="C7" t="s">
        <v>599</v>
      </c>
      <c r="D7" t="s">
        <v>583</v>
      </c>
      <c r="E7" t="s">
        <v>567</v>
      </c>
      <c r="F7" s="8">
        <v>0</v>
      </c>
      <c r="G7" s="8">
        <v>0</v>
      </c>
      <c r="H7" s="8" t="s">
        <v>624</v>
      </c>
      <c r="I7" t="s">
        <v>525</v>
      </c>
    </row>
    <row r="8" spans="1:9" x14ac:dyDescent="0.25">
      <c r="A8" s="34" t="s">
        <v>540</v>
      </c>
      <c r="B8" t="s">
        <v>619</v>
      </c>
      <c r="C8" t="s">
        <v>603</v>
      </c>
      <c r="D8" t="s">
        <v>584</v>
      </c>
      <c r="E8" t="s">
        <v>561</v>
      </c>
      <c r="F8" s="8">
        <v>2</v>
      </c>
      <c r="G8" s="8"/>
      <c r="H8" s="8" t="s">
        <v>625</v>
      </c>
      <c r="I8" t="s">
        <v>527</v>
      </c>
    </row>
    <row r="9" spans="1:9" x14ac:dyDescent="0.25">
      <c r="A9" s="34" t="s">
        <v>544</v>
      </c>
      <c r="B9" t="s">
        <v>622</v>
      </c>
      <c r="C9" t="s">
        <v>600</v>
      </c>
      <c r="D9" t="s">
        <v>584</v>
      </c>
      <c r="E9" t="s">
        <v>568</v>
      </c>
      <c r="F9" s="8">
        <v>1</v>
      </c>
      <c r="G9" s="8">
        <v>0</v>
      </c>
      <c r="H9" s="8" t="s">
        <v>624</v>
      </c>
      <c r="I9" t="s">
        <v>547</v>
      </c>
    </row>
    <row r="10" spans="1:9" x14ac:dyDescent="0.25">
      <c r="A10" s="34" t="s">
        <v>545</v>
      </c>
      <c r="B10" t="s">
        <v>622</v>
      </c>
      <c r="C10" t="s">
        <v>604</v>
      </c>
      <c r="D10" t="s">
        <v>586</v>
      </c>
      <c r="E10" t="s">
        <v>561</v>
      </c>
      <c r="F10" s="8">
        <v>1</v>
      </c>
      <c r="G10" s="8">
        <v>0</v>
      </c>
      <c r="H10" s="8" t="s">
        <v>625</v>
      </c>
      <c r="I10" t="s">
        <v>531</v>
      </c>
    </row>
    <row r="11" spans="1:9" x14ac:dyDescent="0.25">
      <c r="A11" s="38" t="s">
        <v>546</v>
      </c>
      <c r="B11" t="s">
        <v>617</v>
      </c>
      <c r="C11" t="s">
        <v>605</v>
      </c>
      <c r="D11" t="s">
        <v>586</v>
      </c>
      <c r="E11" t="s">
        <v>563</v>
      </c>
      <c r="F11" s="8">
        <v>2</v>
      </c>
      <c r="G11" s="8">
        <v>2</v>
      </c>
      <c r="H11" s="8" t="s">
        <v>624</v>
      </c>
      <c r="I11" t="s">
        <v>532</v>
      </c>
    </row>
    <row r="12" spans="1:9" x14ac:dyDescent="0.25">
      <c r="A12" s="39" t="s">
        <v>539</v>
      </c>
      <c r="B12" t="s">
        <v>621</v>
      </c>
      <c r="C12" t="s">
        <v>628</v>
      </c>
      <c r="D12" t="s">
        <v>583</v>
      </c>
      <c r="E12" t="s">
        <v>561</v>
      </c>
      <c r="F12" s="8">
        <v>0</v>
      </c>
      <c r="G12" s="8">
        <v>0</v>
      </c>
      <c r="H12" s="8" t="s">
        <v>624</v>
      </c>
      <c r="I12" t="s">
        <v>526</v>
      </c>
    </row>
    <row r="13" spans="1:9" x14ac:dyDescent="0.25">
      <c r="A13" s="34" t="s">
        <v>616</v>
      </c>
      <c r="B13" t="s">
        <v>620</v>
      </c>
      <c r="C13" t="s">
        <v>629</v>
      </c>
      <c r="D13" t="s">
        <v>606</v>
      </c>
      <c r="E13" t="s">
        <v>615</v>
      </c>
      <c r="H13" s="8" t="s">
        <v>624</v>
      </c>
      <c r="I13" t="s">
        <v>597</v>
      </c>
    </row>
    <row r="14" spans="1:9" x14ac:dyDescent="0.25">
      <c r="A14" s="34" t="s">
        <v>594</v>
      </c>
      <c r="B14" t="s">
        <v>620</v>
      </c>
      <c r="C14" t="s">
        <v>626</v>
      </c>
      <c r="D14" t="s">
        <v>606</v>
      </c>
      <c r="E14" t="s">
        <v>614</v>
      </c>
      <c r="H14" s="8" t="s">
        <v>625</v>
      </c>
      <c r="I14" t="s">
        <v>598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  <col min="4" max="4" width="17.85546875" customWidth="1"/>
    <col min="5" max="5" width="14.85546875" bestFit="1" customWidth="1"/>
    <col min="6" max="6" width="14.85546875" customWidth="1"/>
    <col min="7" max="7" width="15.28515625" customWidth="1"/>
    <col min="9" max="9" width="73.28515625" customWidth="1"/>
  </cols>
  <sheetData>
    <row r="1" spans="1:9" x14ac:dyDescent="0.25">
      <c r="A1" s="1" t="s">
        <v>0</v>
      </c>
      <c r="B1" s="18" t="s">
        <v>268</v>
      </c>
      <c r="C1" s="18" t="s">
        <v>269</v>
      </c>
      <c r="D1" s="18" t="s">
        <v>486</v>
      </c>
      <c r="E1" s="18" t="s">
        <v>487</v>
      </c>
      <c r="F1" s="18" t="s">
        <v>488</v>
      </c>
      <c r="G1" s="18" t="s">
        <v>587</v>
      </c>
    </row>
    <row r="2" spans="1:9" x14ac:dyDescent="0.25">
      <c r="A2" s="17" t="s">
        <v>212</v>
      </c>
      <c r="B2" s="8" t="s">
        <v>270</v>
      </c>
      <c r="C2" s="8" t="s">
        <v>271</v>
      </c>
      <c r="D2" s="7" t="s">
        <v>352</v>
      </c>
      <c r="E2" s="8">
        <v>10</v>
      </c>
      <c r="F2" s="8" t="s">
        <v>445</v>
      </c>
      <c r="G2" t="s">
        <v>591</v>
      </c>
      <c r="I2" s="8"/>
    </row>
    <row r="3" spans="1:9" x14ac:dyDescent="0.25">
      <c r="A3" s="17" t="s">
        <v>213</v>
      </c>
      <c r="B3" s="8" t="s">
        <v>270</v>
      </c>
      <c r="C3" s="8" t="s">
        <v>272</v>
      </c>
      <c r="D3" s="7" t="s">
        <v>352</v>
      </c>
      <c r="E3" s="8">
        <v>10</v>
      </c>
      <c r="F3" s="8" t="s">
        <v>445</v>
      </c>
      <c r="G3" t="s">
        <v>591</v>
      </c>
    </row>
    <row r="4" spans="1:9" x14ac:dyDescent="0.25">
      <c r="A4" s="17" t="s">
        <v>214</v>
      </c>
      <c r="B4" s="8" t="s">
        <v>270</v>
      </c>
      <c r="C4" s="8" t="s">
        <v>273</v>
      </c>
      <c r="D4" s="7" t="s">
        <v>352</v>
      </c>
      <c r="E4" s="8">
        <v>10</v>
      </c>
      <c r="F4" s="8" t="s">
        <v>445</v>
      </c>
      <c r="G4" t="s">
        <v>591</v>
      </c>
    </row>
    <row r="5" spans="1:9" x14ac:dyDescent="0.25">
      <c r="A5" s="17" t="s">
        <v>215</v>
      </c>
      <c r="B5" s="8" t="s">
        <v>270</v>
      </c>
      <c r="C5" s="8" t="s">
        <v>274</v>
      </c>
      <c r="D5" s="7" t="s">
        <v>352</v>
      </c>
      <c r="E5" s="8">
        <v>10</v>
      </c>
      <c r="F5" s="8" t="s">
        <v>445</v>
      </c>
      <c r="G5" t="s">
        <v>591</v>
      </c>
    </row>
    <row r="6" spans="1:9" x14ac:dyDescent="0.25">
      <c r="A6" s="17" t="s">
        <v>216</v>
      </c>
      <c r="B6" s="8" t="s">
        <v>270</v>
      </c>
      <c r="C6" s="8" t="s">
        <v>275</v>
      </c>
      <c r="D6" s="7" t="s">
        <v>352</v>
      </c>
      <c r="E6" s="8">
        <v>10</v>
      </c>
      <c r="F6" s="8" t="s">
        <v>445</v>
      </c>
      <c r="G6" t="s">
        <v>591</v>
      </c>
    </row>
    <row r="7" spans="1:9" x14ac:dyDescent="0.25">
      <c r="A7" s="17" t="s">
        <v>217</v>
      </c>
      <c r="B7" s="8" t="s">
        <v>270</v>
      </c>
      <c r="C7" s="8" t="s">
        <v>276</v>
      </c>
      <c r="D7" s="7" t="s">
        <v>352</v>
      </c>
      <c r="E7" s="8">
        <v>10</v>
      </c>
      <c r="F7" s="8" t="s">
        <v>445</v>
      </c>
      <c r="G7" t="s">
        <v>591</v>
      </c>
    </row>
    <row r="8" spans="1:9" x14ac:dyDescent="0.25">
      <c r="A8" s="17" t="s">
        <v>218</v>
      </c>
      <c r="B8" s="8" t="s">
        <v>277</v>
      </c>
      <c r="C8" s="8" t="s">
        <v>271</v>
      </c>
      <c r="D8" s="7" t="s">
        <v>352</v>
      </c>
      <c r="E8" s="8">
        <v>10</v>
      </c>
      <c r="F8" s="8" t="s">
        <v>445</v>
      </c>
      <c r="G8" t="s">
        <v>591</v>
      </c>
    </row>
    <row r="9" spans="1:9" x14ac:dyDescent="0.25">
      <c r="A9" s="17" t="s">
        <v>219</v>
      </c>
      <c r="B9" s="8" t="s">
        <v>277</v>
      </c>
      <c r="C9" s="8" t="s">
        <v>272</v>
      </c>
      <c r="D9" s="7" t="s">
        <v>352</v>
      </c>
      <c r="E9" s="8">
        <v>10</v>
      </c>
      <c r="F9" s="8" t="s">
        <v>445</v>
      </c>
      <c r="G9" t="s">
        <v>591</v>
      </c>
    </row>
    <row r="10" spans="1:9" x14ac:dyDescent="0.25">
      <c r="A10" s="17" t="s">
        <v>220</v>
      </c>
      <c r="B10" s="8" t="s">
        <v>277</v>
      </c>
      <c r="C10" s="8" t="s">
        <v>273</v>
      </c>
      <c r="D10" s="7" t="s">
        <v>352</v>
      </c>
      <c r="E10" s="8">
        <v>10</v>
      </c>
      <c r="F10" s="8" t="s">
        <v>445</v>
      </c>
      <c r="G10" t="s">
        <v>591</v>
      </c>
    </row>
    <row r="11" spans="1:9" x14ac:dyDescent="0.25">
      <c r="A11" s="17" t="s">
        <v>221</v>
      </c>
      <c r="B11" s="8" t="s">
        <v>277</v>
      </c>
      <c r="C11" s="8" t="s">
        <v>274</v>
      </c>
      <c r="D11" s="7" t="s">
        <v>352</v>
      </c>
      <c r="E11" s="8">
        <v>10</v>
      </c>
      <c r="F11" s="8" t="s">
        <v>445</v>
      </c>
      <c r="G11" t="s">
        <v>591</v>
      </c>
    </row>
    <row r="12" spans="1:9" x14ac:dyDescent="0.25">
      <c r="A12" s="17" t="s">
        <v>222</v>
      </c>
      <c r="B12" s="8" t="s">
        <v>277</v>
      </c>
      <c r="C12" s="8" t="s">
        <v>275</v>
      </c>
      <c r="D12" s="7" t="s">
        <v>352</v>
      </c>
      <c r="E12" s="8">
        <v>10</v>
      </c>
      <c r="F12" s="8" t="s">
        <v>445</v>
      </c>
      <c r="G12" t="s">
        <v>591</v>
      </c>
    </row>
    <row r="13" spans="1:9" x14ac:dyDescent="0.25">
      <c r="A13" s="17" t="s">
        <v>223</v>
      </c>
      <c r="B13" s="8" t="s">
        <v>277</v>
      </c>
      <c r="C13" s="8" t="s">
        <v>276</v>
      </c>
      <c r="D13" s="7" t="s">
        <v>352</v>
      </c>
      <c r="E13" s="8">
        <v>10</v>
      </c>
      <c r="F13" s="8" t="s">
        <v>445</v>
      </c>
      <c r="G13" t="s">
        <v>591</v>
      </c>
    </row>
    <row r="14" spans="1:9" x14ac:dyDescent="0.25">
      <c r="A14" s="17" t="s">
        <v>224</v>
      </c>
      <c r="B14" s="8" t="s">
        <v>278</v>
      </c>
      <c r="C14" s="8" t="s">
        <v>271</v>
      </c>
      <c r="D14" s="7" t="s">
        <v>352</v>
      </c>
      <c r="E14" s="8">
        <v>10</v>
      </c>
      <c r="F14" s="8" t="s">
        <v>445</v>
      </c>
      <c r="G14" t="s">
        <v>591</v>
      </c>
    </row>
    <row r="15" spans="1:9" x14ac:dyDescent="0.25">
      <c r="A15" s="17" t="s">
        <v>225</v>
      </c>
      <c r="B15" s="8" t="s">
        <v>278</v>
      </c>
      <c r="C15" s="8" t="s">
        <v>272</v>
      </c>
      <c r="D15" s="7" t="s">
        <v>352</v>
      </c>
      <c r="E15" s="8">
        <v>10</v>
      </c>
      <c r="F15" s="8" t="s">
        <v>445</v>
      </c>
      <c r="G15" t="s">
        <v>591</v>
      </c>
    </row>
    <row r="16" spans="1:9" x14ac:dyDescent="0.25">
      <c r="A16" s="17" t="s">
        <v>226</v>
      </c>
      <c r="B16" s="8" t="s">
        <v>278</v>
      </c>
      <c r="C16" s="8" t="s">
        <v>273</v>
      </c>
      <c r="D16" s="7" t="s">
        <v>352</v>
      </c>
      <c r="E16" s="8">
        <v>10</v>
      </c>
      <c r="F16" s="8" t="s">
        <v>445</v>
      </c>
      <c r="G16" t="s">
        <v>591</v>
      </c>
    </row>
    <row r="17" spans="1:7" x14ac:dyDescent="0.25">
      <c r="A17" s="17" t="s">
        <v>227</v>
      </c>
      <c r="B17" s="8" t="s">
        <v>278</v>
      </c>
      <c r="C17" s="8" t="s">
        <v>274</v>
      </c>
      <c r="D17" s="7" t="s">
        <v>352</v>
      </c>
      <c r="E17" s="8">
        <v>10</v>
      </c>
      <c r="F17" s="8" t="s">
        <v>445</v>
      </c>
      <c r="G17" t="s">
        <v>591</v>
      </c>
    </row>
    <row r="18" spans="1:7" x14ac:dyDescent="0.25">
      <c r="A18" s="17" t="s">
        <v>228</v>
      </c>
      <c r="B18" s="8" t="s">
        <v>278</v>
      </c>
      <c r="C18" s="8" t="s">
        <v>275</v>
      </c>
      <c r="D18" s="7" t="s">
        <v>352</v>
      </c>
      <c r="E18" s="8">
        <v>10</v>
      </c>
      <c r="F18" s="8" t="s">
        <v>445</v>
      </c>
      <c r="G18" t="s">
        <v>591</v>
      </c>
    </row>
    <row r="19" spans="1:7" x14ac:dyDescent="0.25">
      <c r="A19" s="17" t="s">
        <v>229</v>
      </c>
      <c r="B19" s="8" t="s">
        <v>278</v>
      </c>
      <c r="C19" s="8" t="s">
        <v>276</v>
      </c>
      <c r="D19" s="7" t="s">
        <v>352</v>
      </c>
      <c r="E19" s="8">
        <v>10</v>
      </c>
      <c r="F19" s="8" t="s">
        <v>445</v>
      </c>
      <c r="G19" t="s">
        <v>591</v>
      </c>
    </row>
    <row r="20" spans="1:7" x14ac:dyDescent="0.25">
      <c r="A20" s="17" t="s">
        <v>230</v>
      </c>
      <c r="B20" s="8" t="s">
        <v>279</v>
      </c>
      <c r="C20" s="8" t="s">
        <v>271</v>
      </c>
      <c r="D20" s="7" t="s">
        <v>352</v>
      </c>
      <c r="E20" s="8">
        <v>10</v>
      </c>
      <c r="F20" s="8" t="s">
        <v>445</v>
      </c>
      <c r="G20" t="s">
        <v>591</v>
      </c>
    </row>
    <row r="21" spans="1:7" x14ac:dyDescent="0.25">
      <c r="A21" s="17" t="s">
        <v>231</v>
      </c>
      <c r="B21" s="8" t="s">
        <v>279</v>
      </c>
      <c r="C21" s="8" t="s">
        <v>272</v>
      </c>
      <c r="D21" s="7" t="s">
        <v>352</v>
      </c>
      <c r="E21" s="8">
        <v>10</v>
      </c>
      <c r="F21" s="8" t="s">
        <v>445</v>
      </c>
      <c r="G21" t="s">
        <v>591</v>
      </c>
    </row>
    <row r="22" spans="1:7" x14ac:dyDescent="0.25">
      <c r="A22" s="17" t="s">
        <v>232</v>
      </c>
      <c r="B22" s="8" t="s">
        <v>279</v>
      </c>
      <c r="C22" s="8" t="s">
        <v>273</v>
      </c>
      <c r="D22" s="7" t="s">
        <v>352</v>
      </c>
      <c r="E22" s="8">
        <v>10</v>
      </c>
      <c r="F22" s="8" t="s">
        <v>445</v>
      </c>
      <c r="G22" t="s">
        <v>591</v>
      </c>
    </row>
    <row r="23" spans="1:7" x14ac:dyDescent="0.25">
      <c r="A23" s="17" t="s">
        <v>233</v>
      </c>
      <c r="B23" s="8" t="s">
        <v>279</v>
      </c>
      <c r="C23" s="8" t="s">
        <v>274</v>
      </c>
      <c r="D23" s="7" t="s">
        <v>352</v>
      </c>
      <c r="E23" s="8">
        <v>10</v>
      </c>
      <c r="F23" s="8" t="s">
        <v>445</v>
      </c>
      <c r="G23" t="s">
        <v>591</v>
      </c>
    </row>
    <row r="24" spans="1:7" x14ac:dyDescent="0.25">
      <c r="A24" s="17" t="s">
        <v>234</v>
      </c>
      <c r="B24" s="8" t="s">
        <v>279</v>
      </c>
      <c r="C24" s="8" t="s">
        <v>275</v>
      </c>
      <c r="D24" s="7" t="s">
        <v>352</v>
      </c>
      <c r="E24" s="8">
        <v>10</v>
      </c>
      <c r="F24" s="8" t="s">
        <v>445</v>
      </c>
      <c r="G24" t="s">
        <v>591</v>
      </c>
    </row>
    <row r="25" spans="1:7" x14ac:dyDescent="0.25">
      <c r="A25" s="17" t="s">
        <v>235</v>
      </c>
      <c r="B25" s="8" t="s">
        <v>279</v>
      </c>
      <c r="C25" s="8" t="s">
        <v>276</v>
      </c>
      <c r="D25" s="7" t="s">
        <v>352</v>
      </c>
      <c r="E25" s="8">
        <v>10</v>
      </c>
      <c r="F25" s="8" t="s">
        <v>445</v>
      </c>
      <c r="G25" t="s">
        <v>591</v>
      </c>
    </row>
    <row r="26" spans="1:7" x14ac:dyDescent="0.25">
      <c r="A26" s="17" t="s">
        <v>236</v>
      </c>
      <c r="B26" s="8" t="s">
        <v>280</v>
      </c>
      <c r="C26" s="8" t="s">
        <v>271</v>
      </c>
      <c r="D26" s="7" t="s">
        <v>352</v>
      </c>
      <c r="E26" s="8">
        <v>10</v>
      </c>
      <c r="F26" s="8" t="s">
        <v>445</v>
      </c>
      <c r="G26" t="s">
        <v>591</v>
      </c>
    </row>
    <row r="27" spans="1:7" x14ac:dyDescent="0.25">
      <c r="A27" s="17" t="s">
        <v>237</v>
      </c>
      <c r="B27" s="8" t="s">
        <v>280</v>
      </c>
      <c r="C27" s="8" t="s">
        <v>272</v>
      </c>
      <c r="D27" s="7" t="s">
        <v>352</v>
      </c>
      <c r="E27" s="8">
        <v>10</v>
      </c>
      <c r="F27" s="8" t="s">
        <v>445</v>
      </c>
      <c r="G27" t="s">
        <v>591</v>
      </c>
    </row>
    <row r="28" spans="1:7" x14ac:dyDescent="0.25">
      <c r="A28" s="17" t="s">
        <v>238</v>
      </c>
      <c r="B28" s="8" t="s">
        <v>280</v>
      </c>
      <c r="C28" s="8" t="s">
        <v>273</v>
      </c>
      <c r="D28" s="7" t="s">
        <v>352</v>
      </c>
      <c r="E28" s="8">
        <v>10</v>
      </c>
      <c r="F28" s="8" t="s">
        <v>445</v>
      </c>
      <c r="G28" t="s">
        <v>591</v>
      </c>
    </row>
    <row r="29" spans="1:7" x14ac:dyDescent="0.25">
      <c r="A29" s="17" t="s">
        <v>239</v>
      </c>
      <c r="B29" s="8" t="s">
        <v>280</v>
      </c>
      <c r="C29" s="8" t="s">
        <v>274</v>
      </c>
      <c r="D29" s="7" t="s">
        <v>352</v>
      </c>
      <c r="E29" s="8">
        <v>10</v>
      </c>
      <c r="F29" s="8" t="s">
        <v>445</v>
      </c>
      <c r="G29" t="s">
        <v>591</v>
      </c>
    </row>
    <row r="30" spans="1:7" x14ac:dyDescent="0.25">
      <c r="A30" s="17" t="s">
        <v>240</v>
      </c>
      <c r="B30" s="8" t="s">
        <v>280</v>
      </c>
      <c r="C30" s="8" t="s">
        <v>275</v>
      </c>
      <c r="D30" s="7" t="s">
        <v>352</v>
      </c>
      <c r="E30" s="8">
        <v>10</v>
      </c>
      <c r="F30" s="8" t="s">
        <v>445</v>
      </c>
      <c r="G30" t="s">
        <v>591</v>
      </c>
    </row>
    <row r="31" spans="1:7" x14ac:dyDescent="0.25">
      <c r="A31" s="17" t="s">
        <v>241</v>
      </c>
      <c r="B31" s="8" t="s">
        <v>280</v>
      </c>
      <c r="C31" s="8" t="s">
        <v>276</v>
      </c>
      <c r="D31" s="7" t="s">
        <v>352</v>
      </c>
      <c r="E31" s="8">
        <v>10</v>
      </c>
      <c r="F31" s="8" t="s">
        <v>445</v>
      </c>
      <c r="G31" t="s">
        <v>591</v>
      </c>
    </row>
    <row r="32" spans="1:7" x14ac:dyDescent="0.25">
      <c r="A32" s="17" t="s">
        <v>242</v>
      </c>
      <c r="B32" s="8" t="s">
        <v>281</v>
      </c>
      <c r="C32" s="8" t="s">
        <v>271</v>
      </c>
      <c r="D32" s="7" t="s">
        <v>352</v>
      </c>
      <c r="E32" s="8">
        <v>10</v>
      </c>
      <c r="F32" s="8" t="s">
        <v>445</v>
      </c>
      <c r="G32" t="s">
        <v>591</v>
      </c>
    </row>
    <row r="33" spans="1:7" x14ac:dyDescent="0.25">
      <c r="A33" s="17" t="s">
        <v>243</v>
      </c>
      <c r="B33" s="8" t="s">
        <v>281</v>
      </c>
      <c r="C33" s="8" t="s">
        <v>272</v>
      </c>
      <c r="D33" s="7" t="s">
        <v>352</v>
      </c>
      <c r="E33" s="8">
        <v>10</v>
      </c>
      <c r="F33" s="8" t="s">
        <v>445</v>
      </c>
      <c r="G33" t="s">
        <v>591</v>
      </c>
    </row>
    <row r="34" spans="1:7" x14ac:dyDescent="0.25">
      <c r="A34" s="17" t="s">
        <v>244</v>
      </c>
      <c r="B34" s="8" t="s">
        <v>281</v>
      </c>
      <c r="C34" s="8" t="s">
        <v>273</v>
      </c>
      <c r="D34" s="7" t="s">
        <v>352</v>
      </c>
      <c r="E34" s="8">
        <v>10</v>
      </c>
      <c r="F34" s="8" t="s">
        <v>445</v>
      </c>
      <c r="G34" t="s">
        <v>591</v>
      </c>
    </row>
    <row r="35" spans="1:7" x14ac:dyDescent="0.25">
      <c r="A35" s="17" t="s">
        <v>245</v>
      </c>
      <c r="B35" s="8" t="s">
        <v>281</v>
      </c>
      <c r="C35" s="8" t="s">
        <v>274</v>
      </c>
      <c r="D35" s="7" t="s">
        <v>352</v>
      </c>
      <c r="E35" s="8">
        <v>10</v>
      </c>
      <c r="F35" s="8" t="s">
        <v>445</v>
      </c>
      <c r="G35" t="s">
        <v>591</v>
      </c>
    </row>
    <row r="36" spans="1:7" x14ac:dyDescent="0.25">
      <c r="A36" s="17" t="s">
        <v>246</v>
      </c>
      <c r="B36" s="8" t="s">
        <v>281</v>
      </c>
      <c r="C36" s="8" t="s">
        <v>275</v>
      </c>
      <c r="D36" s="7" t="s">
        <v>352</v>
      </c>
      <c r="E36" s="8">
        <v>10</v>
      </c>
      <c r="F36" s="8" t="s">
        <v>445</v>
      </c>
      <c r="G36" t="s">
        <v>591</v>
      </c>
    </row>
    <row r="37" spans="1:7" x14ac:dyDescent="0.25">
      <c r="A37" s="17" t="s">
        <v>247</v>
      </c>
      <c r="B37" s="8" t="s">
        <v>281</v>
      </c>
      <c r="C37" s="8" t="s">
        <v>276</v>
      </c>
      <c r="D37" s="7" t="s">
        <v>352</v>
      </c>
      <c r="E37" s="8">
        <v>10</v>
      </c>
      <c r="F37" s="8" t="s">
        <v>445</v>
      </c>
      <c r="G37" t="s">
        <v>591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C15" sqref="C15"/>
    </sheetView>
  </sheetViews>
  <sheetFormatPr defaultRowHeight="15" x14ac:dyDescent="0.25"/>
  <cols>
    <col min="1" max="1" width="18.28515625" customWidth="1"/>
    <col min="2" max="2" width="11.28515625" customWidth="1"/>
    <col min="3" max="3" width="12.85546875" customWidth="1"/>
    <col min="4" max="4" width="12.42578125" customWidth="1"/>
    <col min="5" max="5" width="14.42578125" customWidth="1"/>
  </cols>
  <sheetData>
    <row r="1" spans="1:5" x14ac:dyDescent="0.25">
      <c r="A1" s="18" t="s">
        <v>0</v>
      </c>
      <c r="B1" s="18" t="s">
        <v>588</v>
      </c>
      <c r="C1" s="18" t="s">
        <v>589</v>
      </c>
      <c r="D1" s="18" t="s">
        <v>590</v>
      </c>
      <c r="E1" s="18" t="s">
        <v>517</v>
      </c>
    </row>
    <row r="2" spans="1:5" x14ac:dyDescent="0.25">
      <c r="A2" t="s">
        <v>591</v>
      </c>
      <c r="B2" s="7" t="s">
        <v>69</v>
      </c>
      <c r="C2" s="7">
        <v>100</v>
      </c>
      <c r="D2" s="7">
        <v>2000</v>
      </c>
      <c r="E2" s="7" t="s">
        <v>445</v>
      </c>
    </row>
    <row r="3" spans="1:5" x14ac:dyDescent="0.25">
      <c r="A3" t="s">
        <v>591</v>
      </c>
      <c r="B3" s="7" t="s">
        <v>70</v>
      </c>
      <c r="C3" s="7">
        <v>100</v>
      </c>
      <c r="D3" s="7">
        <v>1000</v>
      </c>
      <c r="E3" s="7" t="s">
        <v>445</v>
      </c>
    </row>
    <row r="4" spans="1:5" x14ac:dyDescent="0.25">
      <c r="A4" t="s">
        <v>591</v>
      </c>
      <c r="B4" s="7" t="s">
        <v>419</v>
      </c>
      <c r="C4" s="7">
        <v>100</v>
      </c>
      <c r="D4" s="7">
        <v>300</v>
      </c>
      <c r="E4" s="7" t="s">
        <v>445</v>
      </c>
    </row>
    <row r="5" spans="1:5" x14ac:dyDescent="0.25">
      <c r="A5" t="s">
        <v>591</v>
      </c>
      <c r="B5" s="7" t="s">
        <v>420</v>
      </c>
      <c r="C5" s="7">
        <v>2</v>
      </c>
      <c r="D5" s="7">
        <v>5</v>
      </c>
      <c r="E5" s="7" t="s">
        <v>445</v>
      </c>
    </row>
    <row r="6" spans="1:5" x14ac:dyDescent="0.25">
      <c r="A6" t="s">
        <v>591</v>
      </c>
      <c r="B6" s="7" t="s">
        <v>554</v>
      </c>
      <c r="C6" s="7">
        <v>3</v>
      </c>
      <c r="D6" s="7">
        <v>6</v>
      </c>
      <c r="E6" s="7" t="s">
        <v>445</v>
      </c>
    </row>
    <row r="7" spans="1:5" x14ac:dyDescent="0.25">
      <c r="A7" t="s">
        <v>591</v>
      </c>
      <c r="B7" s="7" t="s">
        <v>553</v>
      </c>
      <c r="C7" s="7">
        <v>10</v>
      </c>
      <c r="D7" s="7">
        <v>20</v>
      </c>
      <c r="E7" s="7" t="s">
        <v>445</v>
      </c>
    </row>
    <row r="8" spans="1:5" x14ac:dyDescent="0.25">
      <c r="A8" t="s">
        <v>591</v>
      </c>
      <c r="B8" s="7" t="s">
        <v>592</v>
      </c>
      <c r="C8" s="7">
        <v>10</v>
      </c>
      <c r="D8" s="7">
        <v>20</v>
      </c>
      <c r="E8" s="7" t="s">
        <v>445</v>
      </c>
    </row>
    <row r="9" spans="1:5" x14ac:dyDescent="0.25">
      <c r="A9" t="s">
        <v>591</v>
      </c>
      <c r="B9" s="7" t="s">
        <v>593</v>
      </c>
      <c r="C9" s="7">
        <v>10</v>
      </c>
      <c r="D9" s="7">
        <v>20</v>
      </c>
      <c r="E9" s="7" t="s">
        <v>445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bestFit="1" customWidth="1"/>
    <col min="2" max="2" width="15" bestFit="1" customWidth="1"/>
    <col min="3" max="3" width="16" bestFit="1" customWidth="1"/>
    <col min="4" max="4" width="16.28515625" bestFit="1" customWidth="1"/>
    <col min="5" max="5" width="12.5703125" bestFit="1" customWidth="1"/>
    <col min="6" max="6" width="14.140625" bestFit="1" customWidth="1"/>
  </cols>
  <sheetData>
    <row r="1" spans="1:6" x14ac:dyDescent="0.25">
      <c r="A1" s="18" t="s">
        <v>0</v>
      </c>
      <c r="B1" s="18" t="s">
        <v>1</v>
      </c>
      <c r="C1" s="18" t="s">
        <v>514</v>
      </c>
      <c r="D1" s="18" t="s">
        <v>515</v>
      </c>
      <c r="E1" s="18" t="s">
        <v>516</v>
      </c>
      <c r="F1" s="18" t="s">
        <v>517</v>
      </c>
    </row>
    <row r="2" spans="1:6" x14ac:dyDescent="0.25">
      <c r="A2" s="8" t="s">
        <v>271</v>
      </c>
      <c r="B2" t="s">
        <v>248</v>
      </c>
      <c r="C2" s="8">
        <v>6</v>
      </c>
      <c r="D2" s="8" t="s">
        <v>298</v>
      </c>
      <c r="E2" s="8">
        <v>15</v>
      </c>
      <c r="F2" s="8" t="s">
        <v>444</v>
      </c>
    </row>
    <row r="3" spans="1:6" x14ac:dyDescent="0.25">
      <c r="A3" s="8" t="s">
        <v>272</v>
      </c>
      <c r="B3" t="s">
        <v>249</v>
      </c>
      <c r="C3" s="8">
        <v>6</v>
      </c>
      <c r="D3" s="8" t="s">
        <v>298</v>
      </c>
      <c r="E3" s="8">
        <v>15</v>
      </c>
      <c r="F3" s="8" t="s">
        <v>444</v>
      </c>
    </row>
    <row r="4" spans="1:6" x14ac:dyDescent="0.25">
      <c r="A4" s="8" t="s">
        <v>273</v>
      </c>
      <c r="B4" t="s">
        <v>250</v>
      </c>
      <c r="C4" s="8">
        <v>6</v>
      </c>
      <c r="D4" s="8" t="s">
        <v>298</v>
      </c>
      <c r="E4" s="8">
        <v>15</v>
      </c>
      <c r="F4" s="8" t="s">
        <v>444</v>
      </c>
    </row>
    <row r="5" spans="1:6" x14ac:dyDescent="0.25">
      <c r="A5" s="8" t="s">
        <v>274</v>
      </c>
      <c r="B5" t="s">
        <v>251</v>
      </c>
      <c r="C5" s="8">
        <v>6</v>
      </c>
      <c r="D5" s="8" t="s">
        <v>298</v>
      </c>
      <c r="E5" s="8">
        <v>15</v>
      </c>
      <c r="F5" s="8" t="s">
        <v>444</v>
      </c>
    </row>
    <row r="6" spans="1:6" x14ac:dyDescent="0.25">
      <c r="A6" s="8" t="s">
        <v>275</v>
      </c>
      <c r="B6" t="s">
        <v>252</v>
      </c>
      <c r="C6" s="8">
        <v>6</v>
      </c>
      <c r="D6" s="8" t="s">
        <v>298</v>
      </c>
      <c r="E6" s="8">
        <v>15</v>
      </c>
      <c r="F6" s="8" t="s">
        <v>444</v>
      </c>
    </row>
    <row r="7" spans="1:6" x14ac:dyDescent="0.25">
      <c r="A7" s="8" t="s">
        <v>276</v>
      </c>
      <c r="B7" t="s">
        <v>253</v>
      </c>
      <c r="C7" s="8">
        <v>6</v>
      </c>
      <c r="D7" s="8" t="s">
        <v>298</v>
      </c>
      <c r="E7" s="8">
        <v>15</v>
      </c>
      <c r="F7" s="8" t="s">
        <v>444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402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403</v>
      </c>
      <c r="G12" s="29" t="s">
        <v>403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zoomScale="85" zoomScaleNormal="85" workbookViewId="0">
      <selection activeCell="D6" sqref="D6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8" width="16.85546875" customWidth="1"/>
    <col min="9" max="9" width="16.5703125" customWidth="1"/>
    <col min="10" max="10" width="15.140625" bestFit="1" customWidth="1"/>
    <col min="11" max="11" width="26.42578125" customWidth="1"/>
    <col min="12" max="12" width="24.85546875" bestFit="1" customWidth="1"/>
  </cols>
  <sheetData>
    <row r="1" spans="1:12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401</v>
      </c>
      <c r="G1" s="18" t="s">
        <v>404</v>
      </c>
      <c r="H1" s="18" t="s">
        <v>570</v>
      </c>
      <c r="I1" s="18" t="s">
        <v>405</v>
      </c>
      <c r="J1" s="18" t="s">
        <v>441</v>
      </c>
      <c r="K1" s="18" t="s">
        <v>449</v>
      </c>
      <c r="L1" s="18" t="s">
        <v>518</v>
      </c>
    </row>
    <row r="2" spans="1:12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 t="s">
        <v>607</v>
      </c>
      <c r="F2" s="8" t="s">
        <v>612</v>
      </c>
      <c r="G2" s="8">
        <v>100</v>
      </c>
      <c r="H2" s="8" t="s">
        <v>571</v>
      </c>
      <c r="I2" s="8" t="s">
        <v>406</v>
      </c>
      <c r="J2" s="7" t="s">
        <v>350</v>
      </c>
      <c r="K2" s="32" t="s">
        <v>450</v>
      </c>
      <c r="L2" s="8" t="s">
        <v>350</v>
      </c>
    </row>
    <row r="3" spans="1:12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 t="s">
        <v>608</v>
      </c>
      <c r="F3" s="8" t="s">
        <v>609</v>
      </c>
      <c r="G3" s="8">
        <v>100</v>
      </c>
      <c r="H3" s="8" t="s">
        <v>572</v>
      </c>
      <c r="I3" s="8" t="s">
        <v>408</v>
      </c>
      <c r="J3" s="7" t="s">
        <v>350</v>
      </c>
      <c r="K3" s="32" t="s">
        <v>453</v>
      </c>
      <c r="L3" s="34" t="s">
        <v>616</v>
      </c>
    </row>
    <row r="4" spans="1:12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610</v>
      </c>
      <c r="F4" s="8" t="s">
        <v>611</v>
      </c>
      <c r="G4" s="8">
        <v>100</v>
      </c>
      <c r="H4" s="8" t="s">
        <v>572</v>
      </c>
      <c r="I4" s="8" t="s">
        <v>406</v>
      </c>
      <c r="J4" s="7" t="s">
        <v>350</v>
      </c>
      <c r="K4" s="32" t="s">
        <v>452</v>
      </c>
      <c r="L4" s="34" t="s">
        <v>594</v>
      </c>
    </row>
    <row r="5" spans="1:12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 t="s">
        <v>607</v>
      </c>
      <c r="F5" s="8" t="s">
        <v>612</v>
      </c>
      <c r="G5" s="8">
        <v>100</v>
      </c>
      <c r="H5" s="8" t="s">
        <v>571</v>
      </c>
      <c r="I5" s="8" t="s">
        <v>406</v>
      </c>
      <c r="J5" s="7" t="s">
        <v>350</v>
      </c>
      <c r="K5" s="32" t="s">
        <v>451</v>
      </c>
      <c r="L5" s="8" t="s">
        <v>350</v>
      </c>
    </row>
    <row r="6" spans="1:12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608</v>
      </c>
      <c r="F6" s="8" t="s">
        <v>609</v>
      </c>
      <c r="G6" s="8">
        <v>0</v>
      </c>
      <c r="H6" t="s">
        <v>568</v>
      </c>
      <c r="I6" s="8" t="s">
        <v>407</v>
      </c>
      <c r="J6" s="7" t="s">
        <v>350</v>
      </c>
      <c r="K6" s="32" t="s">
        <v>455</v>
      </c>
      <c r="L6" s="8" t="s">
        <v>350</v>
      </c>
    </row>
    <row r="7" spans="1:12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610</v>
      </c>
      <c r="F7" s="8" t="s">
        <v>611</v>
      </c>
      <c r="G7" s="8">
        <v>100</v>
      </c>
      <c r="H7" s="8" t="s">
        <v>572</v>
      </c>
      <c r="I7" s="8" t="s">
        <v>406</v>
      </c>
      <c r="J7" t="s">
        <v>414</v>
      </c>
      <c r="K7" s="32" t="s">
        <v>459</v>
      </c>
      <c r="L7" s="8" t="s">
        <v>350</v>
      </c>
    </row>
    <row r="8" spans="1:12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 t="s">
        <v>607</v>
      </c>
      <c r="F8" s="8" t="s">
        <v>612</v>
      </c>
      <c r="G8" s="8">
        <v>100</v>
      </c>
      <c r="H8" s="8" t="s">
        <v>571</v>
      </c>
      <c r="I8" s="8" t="s">
        <v>406</v>
      </c>
      <c r="J8" s="7" t="s">
        <v>350</v>
      </c>
      <c r="K8" s="32" t="s">
        <v>461</v>
      </c>
      <c r="L8" s="8" t="s">
        <v>350</v>
      </c>
    </row>
    <row r="9" spans="1:12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608</v>
      </c>
      <c r="F9" s="8" t="s">
        <v>609</v>
      </c>
      <c r="G9" s="8">
        <v>100</v>
      </c>
      <c r="H9" t="s">
        <v>568</v>
      </c>
      <c r="I9" s="8" t="s">
        <v>407</v>
      </c>
      <c r="J9" s="7" t="s">
        <v>350</v>
      </c>
      <c r="K9" s="32" t="s">
        <v>456</v>
      </c>
      <c r="L9" s="8" t="s">
        <v>350</v>
      </c>
    </row>
    <row r="10" spans="1:12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610</v>
      </c>
      <c r="F10" s="8" t="s">
        <v>611</v>
      </c>
      <c r="G10" s="8">
        <v>100</v>
      </c>
      <c r="H10" s="8" t="s">
        <v>572</v>
      </c>
      <c r="I10" s="8" t="s">
        <v>406</v>
      </c>
      <c r="J10" s="7" t="s">
        <v>350</v>
      </c>
      <c r="K10" s="32" t="s">
        <v>464</v>
      </c>
      <c r="L10" s="8" t="s">
        <v>350</v>
      </c>
    </row>
    <row r="11" spans="1:12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 t="s">
        <v>607</v>
      </c>
      <c r="F11" s="8" t="s">
        <v>612</v>
      </c>
      <c r="G11" s="8">
        <v>100</v>
      </c>
      <c r="H11" s="8" t="s">
        <v>571</v>
      </c>
      <c r="I11" s="8" t="s">
        <v>406</v>
      </c>
      <c r="J11" s="7" t="s">
        <v>350</v>
      </c>
      <c r="K11" s="32" t="s">
        <v>462</v>
      </c>
      <c r="L11" s="8" t="s">
        <v>350</v>
      </c>
    </row>
    <row r="12" spans="1:12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608</v>
      </c>
      <c r="F12" s="8" t="s">
        <v>609</v>
      </c>
      <c r="G12" s="8">
        <v>0</v>
      </c>
      <c r="H12" t="s">
        <v>568</v>
      </c>
      <c r="I12" s="8" t="s">
        <v>407</v>
      </c>
      <c r="J12" t="s">
        <v>417</v>
      </c>
      <c r="K12" s="32" t="s">
        <v>457</v>
      </c>
      <c r="L12" s="8" t="s">
        <v>350</v>
      </c>
    </row>
    <row r="13" spans="1:12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610</v>
      </c>
      <c r="F13" s="8" t="s">
        <v>611</v>
      </c>
      <c r="G13" s="8">
        <v>100</v>
      </c>
      <c r="H13" s="8" t="s">
        <v>572</v>
      </c>
      <c r="I13" s="8" t="s">
        <v>406</v>
      </c>
      <c r="J13" s="7" t="s">
        <v>350</v>
      </c>
      <c r="K13" s="32" t="s">
        <v>465</v>
      </c>
      <c r="L13" s="8" t="s">
        <v>350</v>
      </c>
    </row>
    <row r="14" spans="1:12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 t="s">
        <v>607</v>
      </c>
      <c r="F14" s="8" t="s">
        <v>612</v>
      </c>
      <c r="G14" s="8">
        <v>100</v>
      </c>
      <c r="H14" s="8" t="s">
        <v>571</v>
      </c>
      <c r="I14" s="8" t="s">
        <v>406</v>
      </c>
      <c r="J14" s="7" t="s">
        <v>350</v>
      </c>
      <c r="L14" s="8" t="s">
        <v>350</v>
      </c>
    </row>
    <row r="15" spans="1:12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608</v>
      </c>
      <c r="F15" s="8" t="s">
        <v>609</v>
      </c>
      <c r="G15" s="8">
        <v>100</v>
      </c>
      <c r="H15" s="8" t="s">
        <v>572</v>
      </c>
      <c r="I15" s="8" t="s">
        <v>406</v>
      </c>
      <c r="J15" s="7" t="s">
        <v>350</v>
      </c>
      <c r="L15" s="8" t="s">
        <v>350</v>
      </c>
    </row>
    <row r="16" spans="1:12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610</v>
      </c>
      <c r="F16" s="8" t="s">
        <v>611</v>
      </c>
      <c r="G16" s="8">
        <v>100</v>
      </c>
      <c r="H16" s="8" t="s">
        <v>572</v>
      </c>
      <c r="I16" s="8" t="s">
        <v>406</v>
      </c>
      <c r="J16" s="7" t="s">
        <v>350</v>
      </c>
      <c r="L16" s="8" t="s">
        <v>350</v>
      </c>
    </row>
    <row r="17" spans="1:12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 t="s">
        <v>607</v>
      </c>
      <c r="F17" s="8" t="s">
        <v>612</v>
      </c>
      <c r="G17" s="8">
        <v>100</v>
      </c>
      <c r="H17" s="8" t="s">
        <v>571</v>
      </c>
      <c r="I17" s="8" t="s">
        <v>406</v>
      </c>
      <c r="J17" s="7" t="s">
        <v>350</v>
      </c>
      <c r="K17" t="s">
        <v>467</v>
      </c>
      <c r="L17" s="8" t="s">
        <v>350</v>
      </c>
    </row>
    <row r="18" spans="1:12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608</v>
      </c>
      <c r="F18" s="8" t="s">
        <v>609</v>
      </c>
      <c r="G18" s="8">
        <v>100</v>
      </c>
      <c r="H18" s="8" t="s">
        <v>572</v>
      </c>
      <c r="I18" s="8" t="s">
        <v>406</v>
      </c>
      <c r="J18" s="7" t="s">
        <v>350</v>
      </c>
      <c r="K18" t="s">
        <v>470</v>
      </c>
      <c r="L18" s="8" t="s">
        <v>350</v>
      </c>
    </row>
    <row r="19" spans="1:12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610</v>
      </c>
      <c r="F19" s="8" t="s">
        <v>611</v>
      </c>
      <c r="G19" s="8">
        <v>100</v>
      </c>
      <c r="H19" s="8" t="s">
        <v>572</v>
      </c>
      <c r="I19" s="8" t="s">
        <v>406</v>
      </c>
      <c r="J19" s="7" t="s">
        <v>350</v>
      </c>
      <c r="K19" t="s">
        <v>469</v>
      </c>
      <c r="L19" s="8" t="s">
        <v>350</v>
      </c>
    </row>
    <row r="20" spans="1:12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 t="s">
        <v>607</v>
      </c>
      <c r="F20" s="8" t="s">
        <v>612</v>
      </c>
      <c r="G20" s="8">
        <v>100</v>
      </c>
      <c r="H20" s="8" t="s">
        <v>571</v>
      </c>
      <c r="I20" s="8" t="s">
        <v>406</v>
      </c>
      <c r="J20" s="7" t="s">
        <v>350</v>
      </c>
      <c r="K20" t="s">
        <v>463</v>
      </c>
      <c r="L20" s="8" t="s">
        <v>350</v>
      </c>
    </row>
    <row r="21" spans="1:12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608</v>
      </c>
      <c r="F21" s="8" t="s">
        <v>609</v>
      </c>
      <c r="G21" s="8">
        <v>100</v>
      </c>
      <c r="H21" s="8" t="s">
        <v>572</v>
      </c>
      <c r="I21" s="8" t="s">
        <v>406</v>
      </c>
      <c r="J21" s="7" t="s">
        <v>350</v>
      </c>
      <c r="K21" t="s">
        <v>458</v>
      </c>
      <c r="L21" s="8" t="s">
        <v>350</v>
      </c>
    </row>
    <row r="22" spans="1:12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610</v>
      </c>
      <c r="F22" s="8" t="s">
        <v>611</v>
      </c>
      <c r="G22" s="8">
        <v>100</v>
      </c>
      <c r="H22" s="8" t="s">
        <v>572</v>
      </c>
      <c r="I22" s="8" t="s">
        <v>406</v>
      </c>
      <c r="J22" s="7" t="s">
        <v>350</v>
      </c>
      <c r="K22" t="s">
        <v>466</v>
      </c>
      <c r="L22" s="8" t="s">
        <v>350</v>
      </c>
    </row>
    <row r="23" spans="1:12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 t="s">
        <v>607</v>
      </c>
      <c r="F23" s="8" t="s">
        <v>612</v>
      </c>
      <c r="G23" s="8">
        <v>100</v>
      </c>
      <c r="H23" s="8" t="s">
        <v>571</v>
      </c>
      <c r="I23" s="8" t="s">
        <v>406</v>
      </c>
      <c r="J23" s="7" t="s">
        <v>350</v>
      </c>
      <c r="K23" t="s">
        <v>454</v>
      </c>
      <c r="L23" s="8" t="s">
        <v>350</v>
      </c>
    </row>
    <row r="24" spans="1:12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447</v>
      </c>
      <c r="E24" s="8" t="s">
        <v>608</v>
      </c>
      <c r="F24" s="8" t="s">
        <v>609</v>
      </c>
      <c r="G24" s="8">
        <v>0</v>
      </c>
      <c r="H24" s="8" t="s">
        <v>572</v>
      </c>
      <c r="I24" s="8" t="s">
        <v>407</v>
      </c>
      <c r="J24" t="s">
        <v>416</v>
      </c>
      <c r="K24" s="8" t="s">
        <v>471</v>
      </c>
      <c r="L24" s="8" t="s">
        <v>350</v>
      </c>
    </row>
    <row r="25" spans="1:12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446</v>
      </c>
      <c r="E25" s="8" t="s">
        <v>610</v>
      </c>
      <c r="F25" s="8" t="s">
        <v>611</v>
      </c>
      <c r="G25" s="8">
        <v>100</v>
      </c>
      <c r="H25" s="8" t="s">
        <v>572</v>
      </c>
      <c r="I25" s="8" t="s">
        <v>406</v>
      </c>
      <c r="J25" t="s">
        <v>413</v>
      </c>
      <c r="K25" s="8" t="s">
        <v>477</v>
      </c>
      <c r="L25" s="8" t="s">
        <v>350</v>
      </c>
    </row>
    <row r="26" spans="1:12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 t="s">
        <v>607</v>
      </c>
      <c r="F26" s="8" t="s">
        <v>612</v>
      </c>
      <c r="G26" s="8">
        <v>100</v>
      </c>
      <c r="H26" s="8" t="s">
        <v>571</v>
      </c>
      <c r="I26" s="8" t="s">
        <v>406</v>
      </c>
      <c r="J26" s="7" t="s">
        <v>350</v>
      </c>
      <c r="L26" s="8" t="s">
        <v>350</v>
      </c>
    </row>
    <row r="27" spans="1:12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608</v>
      </c>
      <c r="F27" s="8" t="s">
        <v>609</v>
      </c>
      <c r="G27" s="8">
        <v>100</v>
      </c>
      <c r="H27" s="8" t="s">
        <v>572</v>
      </c>
      <c r="I27" s="8" t="s">
        <v>406</v>
      </c>
      <c r="J27" s="7" t="s">
        <v>350</v>
      </c>
      <c r="L27" s="8" t="s">
        <v>350</v>
      </c>
    </row>
    <row r="28" spans="1:12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610</v>
      </c>
      <c r="F28" s="8" t="s">
        <v>611</v>
      </c>
      <c r="G28" s="8">
        <v>100</v>
      </c>
      <c r="H28" s="8" t="s">
        <v>572</v>
      </c>
      <c r="I28" s="8" t="s">
        <v>406</v>
      </c>
      <c r="J28" s="7" t="s">
        <v>350</v>
      </c>
      <c r="L28" s="8" t="s">
        <v>350</v>
      </c>
    </row>
    <row r="29" spans="1:12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 t="s">
        <v>607</v>
      </c>
      <c r="F29" s="8" t="s">
        <v>612</v>
      </c>
      <c r="G29" s="8">
        <v>100</v>
      </c>
      <c r="H29" s="8" t="s">
        <v>571</v>
      </c>
      <c r="I29" s="8" t="s">
        <v>406</v>
      </c>
      <c r="J29" s="7" t="s">
        <v>350</v>
      </c>
      <c r="L29" s="8" t="s">
        <v>350</v>
      </c>
    </row>
    <row r="30" spans="1:12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608</v>
      </c>
      <c r="F30" s="8" t="s">
        <v>609</v>
      </c>
      <c r="G30" s="8">
        <v>100</v>
      </c>
      <c r="H30" s="8" t="s">
        <v>572</v>
      </c>
      <c r="I30" s="8" t="s">
        <v>406</v>
      </c>
      <c r="J30" s="7" t="s">
        <v>350</v>
      </c>
      <c r="L30" s="8" t="s">
        <v>350</v>
      </c>
    </row>
    <row r="31" spans="1:12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610</v>
      </c>
      <c r="F31" s="8" t="s">
        <v>611</v>
      </c>
      <c r="G31" s="8">
        <v>100</v>
      </c>
      <c r="H31" s="8" t="s">
        <v>572</v>
      </c>
      <c r="I31" s="8" t="s">
        <v>406</v>
      </c>
      <c r="J31" s="7" t="s">
        <v>350</v>
      </c>
      <c r="L31" s="8" t="s">
        <v>350</v>
      </c>
    </row>
    <row r="32" spans="1:12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 t="s">
        <v>613</v>
      </c>
      <c r="F32" s="8" t="s">
        <v>612</v>
      </c>
      <c r="G32" s="8">
        <v>100</v>
      </c>
      <c r="H32" s="8" t="s">
        <v>571</v>
      </c>
      <c r="I32" s="8" t="s">
        <v>406</v>
      </c>
      <c r="J32" s="7" t="s">
        <v>350</v>
      </c>
      <c r="K32" t="s">
        <v>454</v>
      </c>
      <c r="L32" s="8" t="s">
        <v>350</v>
      </c>
    </row>
    <row r="33" spans="1:12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 t="s">
        <v>607</v>
      </c>
      <c r="F33" s="8" t="s">
        <v>612</v>
      </c>
      <c r="G33" s="8">
        <v>100</v>
      </c>
      <c r="H33" s="8" t="s">
        <v>571</v>
      </c>
      <c r="I33" s="8" t="s">
        <v>406</v>
      </c>
      <c r="J33" s="7" t="s">
        <v>350</v>
      </c>
      <c r="K33" t="s">
        <v>468</v>
      </c>
      <c r="L33" s="8" t="s">
        <v>350</v>
      </c>
    </row>
    <row r="34" spans="1:12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608</v>
      </c>
      <c r="F34" s="8" t="s">
        <v>609</v>
      </c>
      <c r="G34" s="8">
        <v>100</v>
      </c>
      <c r="H34" s="8" t="s">
        <v>572</v>
      </c>
      <c r="I34" s="8" t="s">
        <v>406</v>
      </c>
      <c r="J34" s="7" t="s">
        <v>350</v>
      </c>
      <c r="K34" t="s">
        <v>472</v>
      </c>
      <c r="L34" s="8" t="s">
        <v>350</v>
      </c>
    </row>
    <row r="35" spans="1:12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610</v>
      </c>
      <c r="F35" s="8" t="s">
        <v>611</v>
      </c>
      <c r="G35" s="8">
        <v>100</v>
      </c>
      <c r="H35" s="8" t="s">
        <v>572</v>
      </c>
      <c r="I35" s="8" t="s">
        <v>406</v>
      </c>
      <c r="J35" s="7" t="s">
        <v>350</v>
      </c>
      <c r="K35" t="s">
        <v>474</v>
      </c>
      <c r="L35" s="8" t="s">
        <v>350</v>
      </c>
    </row>
    <row r="36" spans="1:12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 t="s">
        <v>607</v>
      </c>
      <c r="F36" s="8" t="s">
        <v>612</v>
      </c>
      <c r="G36" s="8">
        <v>100</v>
      </c>
      <c r="H36" s="8" t="s">
        <v>571</v>
      </c>
      <c r="I36" s="8" t="s">
        <v>406</v>
      </c>
      <c r="J36" s="7" t="s">
        <v>350</v>
      </c>
      <c r="K36" t="s">
        <v>482</v>
      </c>
      <c r="L36" s="8" t="s">
        <v>350</v>
      </c>
    </row>
    <row r="37" spans="1:12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608</v>
      </c>
      <c r="F37" s="8" t="s">
        <v>609</v>
      </c>
      <c r="G37" s="8">
        <v>100</v>
      </c>
      <c r="H37" s="8" t="s">
        <v>572</v>
      </c>
      <c r="I37" s="8" t="s">
        <v>406</v>
      </c>
      <c r="J37" s="7" t="s">
        <v>350</v>
      </c>
      <c r="K37" t="s">
        <v>483</v>
      </c>
      <c r="L37" s="8" t="s">
        <v>350</v>
      </c>
    </row>
    <row r="38" spans="1:12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610</v>
      </c>
      <c r="F38" s="8" t="s">
        <v>611</v>
      </c>
      <c r="G38" s="8">
        <v>100</v>
      </c>
      <c r="H38" s="8" t="s">
        <v>572</v>
      </c>
      <c r="I38" s="8" t="s">
        <v>406</v>
      </c>
      <c r="J38" s="7" t="s">
        <v>350</v>
      </c>
      <c r="K38" t="s">
        <v>484</v>
      </c>
      <c r="L38" s="8" t="s">
        <v>350</v>
      </c>
    </row>
    <row r="39" spans="1:12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 t="s">
        <v>607</v>
      </c>
      <c r="F39" s="8" t="s">
        <v>612</v>
      </c>
      <c r="G39" s="8">
        <v>100</v>
      </c>
      <c r="H39" s="8" t="s">
        <v>571</v>
      </c>
      <c r="I39" s="8" t="s">
        <v>406</v>
      </c>
      <c r="J39" s="7" t="s">
        <v>350</v>
      </c>
      <c r="K39" t="s">
        <v>478</v>
      </c>
      <c r="L39" s="8" t="s">
        <v>350</v>
      </c>
    </row>
    <row r="40" spans="1:12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608</v>
      </c>
      <c r="F40" s="8" t="s">
        <v>609</v>
      </c>
      <c r="G40" s="8">
        <v>100</v>
      </c>
      <c r="H40" s="8" t="s">
        <v>572</v>
      </c>
      <c r="I40" s="8" t="s">
        <v>406</v>
      </c>
      <c r="J40" s="7" t="s">
        <v>350</v>
      </c>
      <c r="K40" t="s">
        <v>480</v>
      </c>
      <c r="L40" s="8" t="s">
        <v>350</v>
      </c>
    </row>
    <row r="41" spans="1:12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610</v>
      </c>
      <c r="F41" s="8" t="s">
        <v>611</v>
      </c>
      <c r="G41" s="8">
        <v>100</v>
      </c>
      <c r="H41" s="8" t="s">
        <v>572</v>
      </c>
      <c r="I41" s="8" t="s">
        <v>406</v>
      </c>
      <c r="J41" s="7" t="s">
        <v>350</v>
      </c>
      <c r="K41" t="s">
        <v>484</v>
      </c>
      <c r="L41" s="8" t="s">
        <v>350</v>
      </c>
    </row>
    <row r="42" spans="1:12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 t="s">
        <v>607</v>
      </c>
      <c r="F42" s="8" t="s">
        <v>612</v>
      </c>
      <c r="G42" s="8">
        <v>100</v>
      </c>
      <c r="H42" s="8" t="s">
        <v>571</v>
      </c>
      <c r="I42" s="8" t="s">
        <v>406</v>
      </c>
      <c r="J42" s="7" t="s">
        <v>350</v>
      </c>
      <c r="K42" t="s">
        <v>473</v>
      </c>
      <c r="L42" s="8" t="s">
        <v>350</v>
      </c>
    </row>
    <row r="43" spans="1:12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608</v>
      </c>
      <c r="F43" s="8" t="s">
        <v>609</v>
      </c>
      <c r="G43" s="8">
        <v>1000</v>
      </c>
      <c r="H43" s="8" t="s">
        <v>572</v>
      </c>
      <c r="I43" s="8" t="s">
        <v>406</v>
      </c>
      <c r="J43" s="7" t="s">
        <v>350</v>
      </c>
      <c r="K43" t="s">
        <v>475</v>
      </c>
      <c r="L43" s="8" t="s">
        <v>350</v>
      </c>
    </row>
    <row r="44" spans="1:12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610</v>
      </c>
      <c r="F44" s="8" t="s">
        <v>611</v>
      </c>
      <c r="G44" s="8">
        <v>100</v>
      </c>
      <c r="H44" s="8" t="s">
        <v>572</v>
      </c>
      <c r="I44" s="8" t="s">
        <v>406</v>
      </c>
      <c r="J44" s="7" t="s">
        <v>350</v>
      </c>
      <c r="K44" t="s">
        <v>476</v>
      </c>
      <c r="L44" s="8" t="s">
        <v>350</v>
      </c>
    </row>
    <row r="45" spans="1:12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 t="s">
        <v>607</v>
      </c>
      <c r="F45" s="8" t="s">
        <v>612</v>
      </c>
      <c r="G45" s="8">
        <v>100</v>
      </c>
      <c r="H45" s="8" t="s">
        <v>571</v>
      </c>
      <c r="I45" s="8" t="s">
        <v>406</v>
      </c>
      <c r="J45" s="7" t="s">
        <v>350</v>
      </c>
      <c r="K45" t="s">
        <v>479</v>
      </c>
      <c r="L45" s="8" t="s">
        <v>350</v>
      </c>
    </row>
    <row r="46" spans="1:12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608</v>
      </c>
      <c r="F46" s="8" t="s">
        <v>609</v>
      </c>
      <c r="G46" s="8">
        <v>100</v>
      </c>
      <c r="H46" s="8" t="s">
        <v>572</v>
      </c>
      <c r="I46" s="8" t="s">
        <v>406</v>
      </c>
      <c r="J46" s="7" t="s">
        <v>350</v>
      </c>
      <c r="K46" t="s">
        <v>481</v>
      </c>
      <c r="L46" s="8" t="s">
        <v>350</v>
      </c>
    </row>
    <row r="47" spans="1:12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610</v>
      </c>
      <c r="F47" s="8" t="s">
        <v>611</v>
      </c>
      <c r="G47" s="8">
        <v>100</v>
      </c>
      <c r="H47" s="8" t="s">
        <v>572</v>
      </c>
      <c r="I47" s="8" t="s">
        <v>406</v>
      </c>
      <c r="J47" t="s">
        <v>414</v>
      </c>
      <c r="K47" t="s">
        <v>485</v>
      </c>
      <c r="L47" s="8" t="s">
        <v>350</v>
      </c>
    </row>
    <row r="48" spans="1:12" x14ac:dyDescent="0.25">
      <c r="A48" s="31" t="s">
        <v>403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 t="s">
        <v>612</v>
      </c>
      <c r="F48" s="8" t="s">
        <v>612</v>
      </c>
      <c r="G48" s="8">
        <v>100</v>
      </c>
      <c r="H48" t="s">
        <v>568</v>
      </c>
      <c r="I48" s="8" t="s">
        <v>406</v>
      </c>
      <c r="J48" s="7" t="s">
        <v>350</v>
      </c>
      <c r="L48" s="8" t="s">
        <v>350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415</v>
      </c>
      <c r="F1" s="18" t="s">
        <v>443</v>
      </c>
      <c r="G1" s="18" t="s">
        <v>409</v>
      </c>
      <c r="H1" s="18" t="s">
        <v>410</v>
      </c>
      <c r="I1" s="18" t="s">
        <v>411</v>
      </c>
    </row>
    <row r="2" spans="1:9" x14ac:dyDescent="0.25">
      <c r="A2" t="s">
        <v>413</v>
      </c>
      <c r="B2" t="s">
        <v>438</v>
      </c>
      <c r="C2" t="s">
        <v>439</v>
      </c>
      <c r="D2" s="7" t="s">
        <v>412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414</v>
      </c>
      <c r="B3" t="s">
        <v>432</v>
      </c>
      <c r="C3" t="s">
        <v>433</v>
      </c>
      <c r="D3" s="7" t="s">
        <v>421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416</v>
      </c>
      <c r="B4" t="s">
        <v>430</v>
      </c>
      <c r="C4" t="s">
        <v>431</v>
      </c>
      <c r="D4" s="7" t="s">
        <v>422</v>
      </c>
      <c r="E4" s="7" t="s">
        <v>70</v>
      </c>
      <c r="F4" s="7" t="s">
        <v>445</v>
      </c>
      <c r="G4" s="7">
        <v>2</v>
      </c>
      <c r="H4" s="7">
        <v>600</v>
      </c>
      <c r="I4" s="7">
        <v>1</v>
      </c>
    </row>
    <row r="5" spans="1:9" x14ac:dyDescent="0.25">
      <c r="A5" t="s">
        <v>417</v>
      </c>
      <c r="B5" t="s">
        <v>428</v>
      </c>
      <c r="C5" t="s">
        <v>429</v>
      </c>
      <c r="D5" s="7" t="s">
        <v>422</v>
      </c>
      <c r="E5" s="7" t="s">
        <v>419</v>
      </c>
      <c r="F5" s="7" t="s">
        <v>445</v>
      </c>
      <c r="G5" s="7">
        <v>2</v>
      </c>
      <c r="H5" s="7">
        <v>200</v>
      </c>
      <c r="I5" s="7">
        <v>1</v>
      </c>
    </row>
    <row r="6" spans="1:9" x14ac:dyDescent="0.25">
      <c r="A6" t="s">
        <v>418</v>
      </c>
      <c r="B6" t="s">
        <v>434</v>
      </c>
      <c r="C6" t="s">
        <v>435</v>
      </c>
      <c r="D6" s="7" t="s">
        <v>422</v>
      </c>
      <c r="E6" s="7" t="s">
        <v>420</v>
      </c>
      <c r="F6" s="7" t="s">
        <v>444</v>
      </c>
      <c r="G6" s="7">
        <v>2</v>
      </c>
      <c r="H6" s="7">
        <v>20</v>
      </c>
      <c r="I6" s="7">
        <v>1</v>
      </c>
    </row>
    <row r="7" spans="1:9" x14ac:dyDescent="0.25">
      <c r="A7" t="s">
        <v>423</v>
      </c>
      <c r="B7" t="s">
        <v>436</v>
      </c>
      <c r="C7" t="s">
        <v>437</v>
      </c>
      <c r="D7" s="7" t="s">
        <v>424</v>
      </c>
      <c r="E7" s="7" t="s">
        <v>420</v>
      </c>
      <c r="F7" s="7" t="s">
        <v>444</v>
      </c>
      <c r="G7" s="7">
        <v>2</v>
      </c>
      <c r="H7" s="7">
        <v>-20</v>
      </c>
      <c r="I7" s="7">
        <v>1</v>
      </c>
    </row>
    <row r="8" spans="1:9" x14ac:dyDescent="0.25">
      <c r="A8" t="s">
        <v>425</v>
      </c>
      <c r="B8" t="s">
        <v>426</v>
      </c>
      <c r="C8" t="s">
        <v>427</v>
      </c>
      <c r="D8" s="7" t="s">
        <v>440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H33" sqref="H33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customWidth="1"/>
    <col min="3" max="3" width="10.85546875" customWidth="1"/>
    <col min="4" max="4" width="12.7109375" customWidth="1"/>
    <col min="5" max="5" width="12.28515625" customWidth="1"/>
    <col min="6" max="6" width="13.140625" customWidth="1"/>
    <col min="7" max="7" width="14" bestFit="1" customWidth="1"/>
    <col min="8" max="8" width="14.85546875" customWidth="1"/>
    <col min="9" max="9" width="13.140625" customWidth="1"/>
    <col min="10" max="10" width="12.42578125" customWidth="1"/>
    <col min="11" max="11" width="15.28515625" customWidth="1"/>
  </cols>
  <sheetData>
    <row r="1" spans="1:17" x14ac:dyDescent="0.25">
      <c r="A1" s="18" t="s">
        <v>332</v>
      </c>
      <c r="B1" s="18" t="s">
        <v>489</v>
      </c>
      <c r="C1" s="18" t="s">
        <v>490</v>
      </c>
      <c r="D1" s="18" t="s">
        <v>491</v>
      </c>
      <c r="E1" s="18" t="s">
        <v>492</v>
      </c>
      <c r="F1" s="18" t="s">
        <v>495</v>
      </c>
      <c r="G1" s="18" t="s">
        <v>496</v>
      </c>
      <c r="H1" s="18" t="s">
        <v>497</v>
      </c>
      <c r="I1" s="18" t="s">
        <v>498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8" t="s">
        <v>489</v>
      </c>
      <c r="O2" s="18" t="s">
        <v>490</v>
      </c>
      <c r="P2" s="18" t="s">
        <v>491</v>
      </c>
      <c r="Q2" s="18" t="s">
        <v>492</v>
      </c>
    </row>
    <row r="3" spans="1:17" x14ac:dyDescent="0.25">
      <c r="A3" s="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xml:space="preserve"> B3-B2</f>
        <v>100</v>
      </c>
      <c r="G3">
        <f>C3-C2</f>
        <v>150</v>
      </c>
      <c r="H3">
        <f>D3-D2</f>
        <v>200</v>
      </c>
      <c r="I3">
        <f>E3-E2</f>
        <v>250</v>
      </c>
      <c r="M3" s="12" t="s">
        <v>493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ref="F4:F67" si="4" xml:space="preserve"> B4-B3</f>
        <v>203</v>
      </c>
      <c r="G4">
        <f t="shared" ref="G4:G67" si="5">C4-C3</f>
        <v>337</v>
      </c>
      <c r="H4">
        <f t="shared" ref="H4:H67" si="6">D4-D3</f>
        <v>496</v>
      </c>
      <c r="I4">
        <f t="shared" ref="I4:I67" si="7">E4-E3</f>
        <v>683</v>
      </c>
      <c r="M4" s="12" t="s">
        <v>494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si="4"/>
        <v>1292</v>
      </c>
      <c r="G35">
        <f t="shared" si="5"/>
        <v>2916</v>
      </c>
      <c r="H35">
        <f t="shared" si="6"/>
        <v>5832</v>
      </c>
      <c r="I35">
        <f t="shared" si="7"/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4"/>
        <v>1316</v>
      </c>
      <c r="G36">
        <f t="shared" si="5"/>
        <v>2979</v>
      </c>
      <c r="H36">
        <f t="shared" si="6"/>
        <v>5975</v>
      </c>
      <c r="I36">
        <f t="shared" si="7"/>
        <v>11201</v>
      </c>
    </row>
    <row r="37" spans="1:9" x14ac:dyDescent="0.25">
      <c r="A37" s="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4"/>
        <v>1339</v>
      </c>
      <c r="G37">
        <f t="shared" si="5"/>
        <v>3041</v>
      </c>
      <c r="H37">
        <f t="shared" si="6"/>
        <v>6117</v>
      </c>
      <c r="I37">
        <f t="shared" si="7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4"/>
        <v>1362</v>
      </c>
      <c r="G38">
        <f t="shared" si="5"/>
        <v>3103</v>
      </c>
      <c r="H38">
        <f t="shared" si="6"/>
        <v>6259</v>
      </c>
      <c r="I38">
        <f t="shared" si="7"/>
        <v>11800</v>
      </c>
    </row>
    <row r="39" spans="1:9" x14ac:dyDescent="0.25">
      <c r="A39" s="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4"/>
        <v>1385</v>
      </c>
      <c r="G39">
        <f t="shared" si="5"/>
        <v>3163</v>
      </c>
      <c r="H39">
        <f t="shared" si="6"/>
        <v>6399</v>
      </c>
      <c r="I39">
        <f t="shared" si="7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4"/>
        <v>1408</v>
      </c>
      <c r="G40">
        <f t="shared" si="5"/>
        <v>3224</v>
      </c>
      <c r="H40">
        <f t="shared" si="6"/>
        <v>6539</v>
      </c>
      <c r="I40">
        <f t="shared" si="7"/>
        <v>12397</v>
      </c>
    </row>
    <row r="41" spans="1:9" x14ac:dyDescent="0.25">
      <c r="A41" s="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4"/>
        <v>1430</v>
      </c>
      <c r="G41">
        <f t="shared" si="5"/>
        <v>3283</v>
      </c>
      <c r="H41">
        <f t="shared" si="6"/>
        <v>6679</v>
      </c>
      <c r="I41">
        <f t="shared" si="7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4"/>
        <v>1452</v>
      </c>
      <c r="G42">
        <f t="shared" si="5"/>
        <v>3343</v>
      </c>
      <c r="H42">
        <f t="shared" si="6"/>
        <v>6816</v>
      </c>
      <c r="I42">
        <f t="shared" si="7"/>
        <v>12990</v>
      </c>
    </row>
    <row r="43" spans="1:9" x14ac:dyDescent="0.25">
      <c r="A43" s="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4"/>
        <v>1475</v>
      </c>
      <c r="G43">
        <f t="shared" si="5"/>
        <v>3403</v>
      </c>
      <c r="H43">
        <f t="shared" si="6"/>
        <v>6955</v>
      </c>
      <c r="I43">
        <f t="shared" si="7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4"/>
        <v>1496</v>
      </c>
      <c r="G44">
        <f t="shared" si="5"/>
        <v>3460</v>
      </c>
      <c r="H44">
        <f t="shared" si="6"/>
        <v>7091</v>
      </c>
      <c r="I44">
        <f t="shared" si="7"/>
        <v>13582</v>
      </c>
    </row>
    <row r="45" spans="1:9" x14ac:dyDescent="0.25">
      <c r="A45" s="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4"/>
        <v>1517</v>
      </c>
      <c r="G45">
        <f t="shared" si="5"/>
        <v>3519</v>
      </c>
      <c r="H45">
        <f t="shared" si="6"/>
        <v>7228</v>
      </c>
      <c r="I45">
        <f t="shared" si="7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4"/>
        <v>1539</v>
      </c>
      <c r="G46">
        <f t="shared" si="5"/>
        <v>3577</v>
      </c>
      <c r="H46">
        <f t="shared" si="6"/>
        <v>7364</v>
      </c>
      <c r="I46">
        <f t="shared" si="7"/>
        <v>14169</v>
      </c>
    </row>
    <row r="47" spans="1:9" x14ac:dyDescent="0.25">
      <c r="A47" s="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4"/>
        <v>1560</v>
      </c>
      <c r="G47">
        <f t="shared" si="5"/>
        <v>3634</v>
      </c>
      <c r="H47">
        <f t="shared" si="6"/>
        <v>7499</v>
      </c>
      <c r="I47">
        <f t="shared" si="7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4"/>
        <v>1581</v>
      </c>
      <c r="G48">
        <f t="shared" si="5"/>
        <v>3691</v>
      </c>
      <c r="H48">
        <f t="shared" si="6"/>
        <v>7633</v>
      </c>
      <c r="I48">
        <f t="shared" si="7"/>
        <v>14754</v>
      </c>
    </row>
    <row r="49" spans="1:9" x14ac:dyDescent="0.25">
      <c r="A49" s="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4"/>
        <v>1602</v>
      </c>
      <c r="G49">
        <f t="shared" si="5"/>
        <v>3748</v>
      </c>
      <c r="H49">
        <f t="shared" si="6"/>
        <v>7767</v>
      </c>
      <c r="I49">
        <f t="shared" si="7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4"/>
        <v>1622</v>
      </c>
      <c r="G50">
        <f t="shared" si="5"/>
        <v>3804</v>
      </c>
      <c r="H50">
        <f t="shared" si="6"/>
        <v>7901</v>
      </c>
      <c r="I50">
        <f t="shared" si="7"/>
        <v>15336</v>
      </c>
    </row>
    <row r="51" spans="1:9" x14ac:dyDescent="0.25">
      <c r="A51" s="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4"/>
        <v>1643</v>
      </c>
      <c r="G51">
        <f t="shared" si="5"/>
        <v>3859</v>
      </c>
      <c r="H51">
        <f t="shared" si="6"/>
        <v>8033</v>
      </c>
      <c r="I51">
        <f t="shared" si="7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4"/>
        <v>1663</v>
      </c>
      <c r="G52">
        <f t="shared" si="5"/>
        <v>3916</v>
      </c>
      <c r="H52">
        <f t="shared" si="6"/>
        <v>8166</v>
      </c>
      <c r="I52">
        <f t="shared" si="7"/>
        <v>15916</v>
      </c>
    </row>
    <row r="53" spans="1:9" x14ac:dyDescent="0.25">
      <c r="A53" s="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4"/>
        <v>1683</v>
      </c>
      <c r="G53">
        <f t="shared" si="5"/>
        <v>3970</v>
      </c>
      <c r="H53">
        <f t="shared" si="6"/>
        <v>8297</v>
      </c>
      <c r="I53">
        <f t="shared" si="7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4"/>
        <v>1703</v>
      </c>
      <c r="G54">
        <f t="shared" si="5"/>
        <v>4025</v>
      </c>
      <c r="H54">
        <f t="shared" si="6"/>
        <v>8428</v>
      </c>
      <c r="I54">
        <f t="shared" si="7"/>
        <v>16494</v>
      </c>
    </row>
    <row r="55" spans="1:9" x14ac:dyDescent="0.25">
      <c r="A55" s="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4"/>
        <v>1723</v>
      </c>
      <c r="G55">
        <f t="shared" si="5"/>
        <v>4080</v>
      </c>
      <c r="H55">
        <f t="shared" si="6"/>
        <v>8559</v>
      </c>
      <c r="I55">
        <f t="shared" si="7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4"/>
        <v>1742</v>
      </c>
      <c r="G56">
        <f t="shared" si="5"/>
        <v>4134</v>
      </c>
      <c r="H56">
        <f t="shared" si="6"/>
        <v>8690</v>
      </c>
      <c r="I56">
        <f t="shared" si="7"/>
        <v>17069</v>
      </c>
    </row>
    <row r="57" spans="1:9" x14ac:dyDescent="0.25">
      <c r="A57" s="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4"/>
        <v>1762</v>
      </c>
      <c r="G57">
        <f t="shared" si="5"/>
        <v>4189</v>
      </c>
      <c r="H57">
        <f t="shared" si="6"/>
        <v>8819</v>
      </c>
      <c r="I57">
        <f t="shared" si="7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4"/>
        <v>1781</v>
      </c>
      <c r="G58">
        <f t="shared" si="5"/>
        <v>4241</v>
      </c>
      <c r="H58">
        <f t="shared" si="6"/>
        <v>8948</v>
      </c>
      <c r="I58">
        <f t="shared" si="7"/>
        <v>17642</v>
      </c>
    </row>
    <row r="59" spans="1:9" x14ac:dyDescent="0.25">
      <c r="A59" s="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4"/>
        <v>1800</v>
      </c>
      <c r="G59">
        <f t="shared" si="5"/>
        <v>4295</v>
      </c>
      <c r="H59">
        <f t="shared" si="6"/>
        <v>9077</v>
      </c>
      <c r="I59">
        <f t="shared" si="7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4"/>
        <v>1820</v>
      </c>
      <c r="G60">
        <f t="shared" si="5"/>
        <v>4349</v>
      </c>
      <c r="H60">
        <f t="shared" si="6"/>
        <v>9205</v>
      </c>
      <c r="I60">
        <f t="shared" si="7"/>
        <v>18214</v>
      </c>
    </row>
    <row r="61" spans="1:9" x14ac:dyDescent="0.25">
      <c r="A61" s="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4"/>
        <v>1838</v>
      </c>
      <c r="G61">
        <f t="shared" si="5"/>
        <v>4401</v>
      </c>
      <c r="H61">
        <f t="shared" si="6"/>
        <v>9333</v>
      </c>
      <c r="I61">
        <f t="shared" si="7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4"/>
        <v>1857</v>
      </c>
      <c r="G62">
        <f t="shared" si="5"/>
        <v>4453</v>
      </c>
      <c r="H62">
        <f t="shared" si="6"/>
        <v>9461</v>
      </c>
      <c r="I62">
        <f t="shared" si="7"/>
        <v>18783</v>
      </c>
    </row>
    <row r="63" spans="1:9" x14ac:dyDescent="0.25">
      <c r="A63" s="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4"/>
        <v>1876</v>
      </c>
      <c r="G63">
        <f t="shared" si="5"/>
        <v>4506</v>
      </c>
      <c r="H63">
        <f t="shared" si="6"/>
        <v>9587</v>
      </c>
      <c r="I63">
        <f t="shared" si="7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4"/>
        <v>1894</v>
      </c>
      <c r="G64">
        <f t="shared" si="5"/>
        <v>4558</v>
      </c>
      <c r="H64">
        <f t="shared" si="6"/>
        <v>9714</v>
      </c>
      <c r="I64">
        <f t="shared" si="7"/>
        <v>19350</v>
      </c>
    </row>
    <row r="65" spans="1:9" x14ac:dyDescent="0.25">
      <c r="A65" s="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4"/>
        <v>1913</v>
      </c>
      <c r="G65">
        <f t="shared" si="5"/>
        <v>4609</v>
      </c>
      <c r="H65">
        <f t="shared" si="6"/>
        <v>9841</v>
      </c>
      <c r="I65">
        <f t="shared" si="7"/>
        <v>19633</v>
      </c>
    </row>
    <row r="66" spans="1:9" x14ac:dyDescent="0.25">
      <c r="A66" s="7">
        <v>65</v>
      </c>
      <c r="B66">
        <f t="shared" ref="B66:B97" si="12">ROUND( $N$3*POWER(A66-1,$N$4), 0)</f>
        <v>77605</v>
      </c>
      <c r="C66">
        <f t="shared" ref="C66:C101" si="13">ROUND($O$3*POWER(A66 -1,$O$4), 0)</f>
        <v>176440</v>
      </c>
      <c r="D66">
        <f t="shared" ref="D66:D101" si="14">ROUND($P$3 * POWER(A66 - 1, $P$4), 0)</f>
        <v>356578</v>
      </c>
      <c r="E66">
        <f t="shared" ref="E66:E101" si="15">ROUND($Q$3 * POWER(A66 - 1, $Q$4), 0)</f>
        <v>675588</v>
      </c>
      <c r="F66">
        <f t="shared" si="4"/>
        <v>1931</v>
      </c>
      <c r="G66">
        <f t="shared" si="5"/>
        <v>4661</v>
      </c>
      <c r="H66">
        <f t="shared" si="6"/>
        <v>9966</v>
      </c>
      <c r="I66">
        <f t="shared" si="7"/>
        <v>19915</v>
      </c>
    </row>
    <row r="67" spans="1:9" x14ac:dyDescent="0.25">
      <c r="A67" s="8">
        <v>66</v>
      </c>
      <c r="B67">
        <f t="shared" si="12"/>
        <v>79554</v>
      </c>
      <c r="C67">
        <f t="shared" si="13"/>
        <v>181152</v>
      </c>
      <c r="D67">
        <f t="shared" si="14"/>
        <v>366669</v>
      </c>
      <c r="E67">
        <f t="shared" si="15"/>
        <v>695786</v>
      </c>
      <c r="F67">
        <f t="shared" si="4"/>
        <v>1949</v>
      </c>
      <c r="G67">
        <f t="shared" si="5"/>
        <v>4712</v>
      </c>
      <c r="H67">
        <f t="shared" si="6"/>
        <v>10091</v>
      </c>
      <c r="I67">
        <f t="shared" si="7"/>
        <v>20198</v>
      </c>
    </row>
    <row r="68" spans="1:9" x14ac:dyDescent="0.25">
      <c r="A68" s="7">
        <v>67</v>
      </c>
      <c r="B68">
        <f t="shared" si="12"/>
        <v>81521</v>
      </c>
      <c r="C68">
        <f t="shared" si="13"/>
        <v>185916</v>
      </c>
      <c r="D68">
        <f t="shared" si="14"/>
        <v>376885</v>
      </c>
      <c r="E68">
        <f t="shared" si="15"/>
        <v>716265</v>
      </c>
      <c r="F68">
        <f t="shared" ref="F68:F101" si="16" xml:space="preserve"> B68-B67</f>
        <v>1967</v>
      </c>
      <c r="G68">
        <f t="shared" ref="G68:G101" si="17">C68-C67</f>
        <v>4764</v>
      </c>
      <c r="H68">
        <f t="shared" ref="H68:H101" si="18">D68-D67</f>
        <v>10216</v>
      </c>
      <c r="I68">
        <f t="shared" ref="I68:I101" si="19">E68-E67</f>
        <v>20479</v>
      </c>
    </row>
    <row r="69" spans="1:9" x14ac:dyDescent="0.25">
      <c r="A69" s="8">
        <v>68</v>
      </c>
      <c r="B69">
        <f t="shared" si="12"/>
        <v>83506</v>
      </c>
      <c r="C69">
        <f t="shared" si="13"/>
        <v>190730</v>
      </c>
      <c r="D69">
        <f t="shared" si="14"/>
        <v>387226</v>
      </c>
      <c r="E69">
        <f t="shared" si="15"/>
        <v>737025</v>
      </c>
      <c r="F69">
        <f t="shared" si="16"/>
        <v>1985</v>
      </c>
      <c r="G69">
        <f t="shared" si="17"/>
        <v>4814</v>
      </c>
      <c r="H69">
        <f t="shared" si="18"/>
        <v>10341</v>
      </c>
      <c r="I69">
        <f t="shared" si="19"/>
        <v>20760</v>
      </c>
    </row>
    <row r="70" spans="1:9" x14ac:dyDescent="0.25">
      <c r="A70" s="7">
        <v>69</v>
      </c>
      <c r="B70">
        <f t="shared" si="12"/>
        <v>85509</v>
      </c>
      <c r="C70">
        <f t="shared" si="13"/>
        <v>195594</v>
      </c>
      <c r="D70">
        <f t="shared" si="14"/>
        <v>397691</v>
      </c>
      <c r="E70">
        <f t="shared" si="15"/>
        <v>758066</v>
      </c>
      <c r="F70">
        <f t="shared" si="16"/>
        <v>2003</v>
      </c>
      <c r="G70">
        <f t="shared" si="17"/>
        <v>4864</v>
      </c>
      <c r="H70">
        <f t="shared" si="18"/>
        <v>10465</v>
      </c>
      <c r="I70">
        <f t="shared" si="19"/>
        <v>21041</v>
      </c>
    </row>
    <row r="71" spans="1:9" x14ac:dyDescent="0.25">
      <c r="A71" s="8">
        <v>70</v>
      </c>
      <c r="B71">
        <f t="shared" si="12"/>
        <v>87530</v>
      </c>
      <c r="C71">
        <f t="shared" si="13"/>
        <v>200509</v>
      </c>
      <c r="D71">
        <f t="shared" si="14"/>
        <v>408280</v>
      </c>
      <c r="E71">
        <f t="shared" si="15"/>
        <v>779387</v>
      </c>
      <c r="F71">
        <f t="shared" si="16"/>
        <v>2021</v>
      </c>
      <c r="G71">
        <f t="shared" si="17"/>
        <v>4915</v>
      </c>
      <c r="H71">
        <f t="shared" si="18"/>
        <v>10589</v>
      </c>
      <c r="I71">
        <f t="shared" si="19"/>
        <v>21321</v>
      </c>
    </row>
    <row r="72" spans="1:9" x14ac:dyDescent="0.25">
      <c r="A72" s="7">
        <v>71</v>
      </c>
      <c r="B72">
        <f t="shared" si="12"/>
        <v>89569</v>
      </c>
      <c r="C72">
        <f t="shared" si="13"/>
        <v>205474</v>
      </c>
      <c r="D72">
        <f t="shared" si="14"/>
        <v>418993</v>
      </c>
      <c r="E72">
        <f t="shared" si="15"/>
        <v>800989</v>
      </c>
      <c r="F72">
        <f t="shared" si="16"/>
        <v>2039</v>
      </c>
      <c r="G72">
        <f t="shared" si="17"/>
        <v>4965</v>
      </c>
      <c r="H72">
        <f t="shared" si="18"/>
        <v>10713</v>
      </c>
      <c r="I72">
        <f t="shared" si="19"/>
        <v>21602</v>
      </c>
    </row>
    <row r="73" spans="1:9" x14ac:dyDescent="0.25">
      <c r="A73" s="8">
        <v>72</v>
      </c>
      <c r="B73">
        <f t="shared" si="12"/>
        <v>91625</v>
      </c>
      <c r="C73">
        <f t="shared" si="13"/>
        <v>210490</v>
      </c>
      <c r="D73">
        <f t="shared" si="14"/>
        <v>429828</v>
      </c>
      <c r="E73">
        <f t="shared" si="15"/>
        <v>822869</v>
      </c>
      <c r="F73">
        <f t="shared" si="16"/>
        <v>2056</v>
      </c>
      <c r="G73">
        <f t="shared" si="17"/>
        <v>5016</v>
      </c>
      <c r="H73">
        <f t="shared" si="18"/>
        <v>10835</v>
      </c>
      <c r="I73">
        <f t="shared" si="19"/>
        <v>21880</v>
      </c>
    </row>
    <row r="74" spans="1:9" x14ac:dyDescent="0.25">
      <c r="A74" s="7">
        <v>73</v>
      </c>
      <c r="B74">
        <f t="shared" si="12"/>
        <v>93698</v>
      </c>
      <c r="C74">
        <f t="shared" si="13"/>
        <v>215554</v>
      </c>
      <c r="D74">
        <f t="shared" si="14"/>
        <v>440787</v>
      </c>
      <c r="E74">
        <f t="shared" si="15"/>
        <v>845029</v>
      </c>
      <c r="F74">
        <f t="shared" si="16"/>
        <v>2073</v>
      </c>
      <c r="G74">
        <f t="shared" si="17"/>
        <v>5064</v>
      </c>
      <c r="H74">
        <f t="shared" si="18"/>
        <v>10959</v>
      </c>
      <c r="I74">
        <f t="shared" si="19"/>
        <v>22160</v>
      </c>
    </row>
    <row r="75" spans="1:9" x14ac:dyDescent="0.25">
      <c r="A75" s="8">
        <v>74</v>
      </c>
      <c r="B75">
        <f t="shared" si="12"/>
        <v>95789</v>
      </c>
      <c r="C75">
        <f t="shared" si="13"/>
        <v>220668</v>
      </c>
      <c r="D75">
        <f t="shared" si="14"/>
        <v>451868</v>
      </c>
      <c r="E75">
        <f t="shared" si="15"/>
        <v>867468</v>
      </c>
      <c r="F75">
        <f t="shared" si="16"/>
        <v>2091</v>
      </c>
      <c r="G75">
        <f t="shared" si="17"/>
        <v>5114</v>
      </c>
      <c r="H75">
        <f t="shared" si="18"/>
        <v>11081</v>
      </c>
      <c r="I75">
        <f t="shared" si="19"/>
        <v>22439</v>
      </c>
    </row>
    <row r="76" spans="1:9" x14ac:dyDescent="0.25">
      <c r="A76" s="7">
        <v>75</v>
      </c>
      <c r="B76">
        <f t="shared" si="12"/>
        <v>97897</v>
      </c>
      <c r="C76">
        <f t="shared" si="13"/>
        <v>225832</v>
      </c>
      <c r="D76">
        <f t="shared" si="14"/>
        <v>463070</v>
      </c>
      <c r="E76">
        <f t="shared" si="15"/>
        <v>890185</v>
      </c>
      <c r="F76">
        <f t="shared" si="16"/>
        <v>2108</v>
      </c>
      <c r="G76">
        <f t="shared" si="17"/>
        <v>5164</v>
      </c>
      <c r="H76">
        <f t="shared" si="18"/>
        <v>11202</v>
      </c>
      <c r="I76">
        <f t="shared" si="19"/>
        <v>22717</v>
      </c>
    </row>
    <row r="77" spans="1:9" x14ac:dyDescent="0.25">
      <c r="A77" s="8">
        <v>76</v>
      </c>
      <c r="B77">
        <f t="shared" si="12"/>
        <v>100023</v>
      </c>
      <c r="C77">
        <f t="shared" si="13"/>
        <v>231044</v>
      </c>
      <c r="D77">
        <f t="shared" si="14"/>
        <v>474395</v>
      </c>
      <c r="E77">
        <f t="shared" si="15"/>
        <v>913180</v>
      </c>
      <c r="F77">
        <f t="shared" si="16"/>
        <v>2126</v>
      </c>
      <c r="G77">
        <f t="shared" si="17"/>
        <v>5212</v>
      </c>
      <c r="H77">
        <f t="shared" si="18"/>
        <v>11325</v>
      </c>
      <c r="I77">
        <f t="shared" si="19"/>
        <v>22995</v>
      </c>
    </row>
    <row r="78" spans="1:9" x14ac:dyDescent="0.25">
      <c r="A78" s="7">
        <v>77</v>
      </c>
      <c r="B78">
        <f t="shared" si="12"/>
        <v>102165</v>
      </c>
      <c r="C78">
        <f t="shared" si="13"/>
        <v>236306</v>
      </c>
      <c r="D78">
        <f t="shared" si="14"/>
        <v>485841</v>
      </c>
      <c r="E78">
        <f t="shared" si="15"/>
        <v>936453</v>
      </c>
      <c r="F78">
        <f t="shared" si="16"/>
        <v>2142</v>
      </c>
      <c r="G78">
        <f t="shared" si="17"/>
        <v>5262</v>
      </c>
      <c r="H78">
        <f t="shared" si="18"/>
        <v>11446</v>
      </c>
      <c r="I78">
        <f t="shared" si="19"/>
        <v>23273</v>
      </c>
    </row>
    <row r="79" spans="1:9" x14ac:dyDescent="0.25">
      <c r="A79" s="8">
        <v>78</v>
      </c>
      <c r="B79">
        <f t="shared" si="12"/>
        <v>104324</v>
      </c>
      <c r="C79">
        <f t="shared" si="13"/>
        <v>241616</v>
      </c>
      <c r="D79">
        <f t="shared" si="14"/>
        <v>497409</v>
      </c>
      <c r="E79">
        <f t="shared" si="15"/>
        <v>960003</v>
      </c>
      <c r="F79">
        <f t="shared" si="16"/>
        <v>2159</v>
      </c>
      <c r="G79">
        <f t="shared" si="17"/>
        <v>5310</v>
      </c>
      <c r="H79">
        <f t="shared" si="18"/>
        <v>11568</v>
      </c>
      <c r="I79">
        <f t="shared" si="19"/>
        <v>23550</v>
      </c>
    </row>
    <row r="80" spans="1:9" x14ac:dyDescent="0.25">
      <c r="A80" s="7">
        <v>79</v>
      </c>
      <c r="B80">
        <f t="shared" si="12"/>
        <v>106500</v>
      </c>
      <c r="C80">
        <f t="shared" si="13"/>
        <v>246974</v>
      </c>
      <c r="D80">
        <f t="shared" si="14"/>
        <v>509097</v>
      </c>
      <c r="E80">
        <f t="shared" si="15"/>
        <v>983829</v>
      </c>
      <c r="F80">
        <f t="shared" si="16"/>
        <v>2176</v>
      </c>
      <c r="G80">
        <f t="shared" si="17"/>
        <v>5358</v>
      </c>
      <c r="H80">
        <f t="shared" si="18"/>
        <v>11688</v>
      </c>
      <c r="I80">
        <f t="shared" si="19"/>
        <v>23826</v>
      </c>
    </row>
    <row r="81" spans="1:9" x14ac:dyDescent="0.25">
      <c r="A81" s="8">
        <v>80</v>
      </c>
      <c r="B81">
        <f t="shared" si="12"/>
        <v>108693</v>
      </c>
      <c r="C81">
        <f t="shared" si="13"/>
        <v>252381</v>
      </c>
      <c r="D81">
        <f t="shared" si="14"/>
        <v>520905</v>
      </c>
      <c r="E81">
        <f t="shared" si="15"/>
        <v>1007933</v>
      </c>
      <c r="F81">
        <f t="shared" si="16"/>
        <v>2193</v>
      </c>
      <c r="G81">
        <f t="shared" si="17"/>
        <v>5407</v>
      </c>
      <c r="H81">
        <f t="shared" si="18"/>
        <v>11808</v>
      </c>
      <c r="I81">
        <f t="shared" si="19"/>
        <v>24104</v>
      </c>
    </row>
    <row r="82" spans="1:9" x14ac:dyDescent="0.25">
      <c r="A82" s="7">
        <v>81</v>
      </c>
      <c r="B82">
        <f t="shared" si="12"/>
        <v>110903</v>
      </c>
      <c r="C82">
        <f t="shared" si="13"/>
        <v>257836</v>
      </c>
      <c r="D82">
        <f t="shared" si="14"/>
        <v>532834</v>
      </c>
      <c r="E82">
        <f t="shared" si="15"/>
        <v>1032312</v>
      </c>
      <c r="F82">
        <f t="shared" si="16"/>
        <v>2210</v>
      </c>
      <c r="G82">
        <f t="shared" si="17"/>
        <v>5455</v>
      </c>
      <c r="H82">
        <f t="shared" si="18"/>
        <v>11929</v>
      </c>
      <c r="I82">
        <f t="shared" si="19"/>
        <v>24379</v>
      </c>
    </row>
    <row r="83" spans="1:9" x14ac:dyDescent="0.25">
      <c r="A83" s="8">
        <v>82</v>
      </c>
      <c r="B83">
        <f t="shared" si="12"/>
        <v>113130</v>
      </c>
      <c r="C83">
        <f t="shared" si="13"/>
        <v>263339</v>
      </c>
      <c r="D83">
        <f t="shared" si="14"/>
        <v>544883</v>
      </c>
      <c r="E83">
        <f t="shared" si="15"/>
        <v>1056967</v>
      </c>
      <c r="F83">
        <f t="shared" si="16"/>
        <v>2227</v>
      </c>
      <c r="G83">
        <f t="shared" si="17"/>
        <v>5503</v>
      </c>
      <c r="H83">
        <f t="shared" si="18"/>
        <v>12049</v>
      </c>
      <c r="I83">
        <f t="shared" si="19"/>
        <v>24655</v>
      </c>
    </row>
    <row r="84" spans="1:9" x14ac:dyDescent="0.25">
      <c r="A84" s="7">
        <v>83</v>
      </c>
      <c r="B84">
        <f t="shared" si="12"/>
        <v>115372</v>
      </c>
      <c r="C84">
        <f t="shared" si="13"/>
        <v>268890</v>
      </c>
      <c r="D84">
        <f t="shared" si="14"/>
        <v>557051</v>
      </c>
      <c r="E84">
        <f t="shared" si="15"/>
        <v>1081898</v>
      </c>
      <c r="F84">
        <f t="shared" si="16"/>
        <v>2242</v>
      </c>
      <c r="G84">
        <f t="shared" si="17"/>
        <v>5551</v>
      </c>
      <c r="H84">
        <f t="shared" si="18"/>
        <v>12168</v>
      </c>
      <c r="I84">
        <f t="shared" si="19"/>
        <v>24931</v>
      </c>
    </row>
    <row r="85" spans="1:9" x14ac:dyDescent="0.25">
      <c r="A85" s="8">
        <v>84</v>
      </c>
      <c r="B85">
        <f t="shared" si="12"/>
        <v>117632</v>
      </c>
      <c r="C85">
        <f t="shared" si="13"/>
        <v>274488</v>
      </c>
      <c r="D85">
        <f t="shared" si="14"/>
        <v>569339</v>
      </c>
      <c r="E85">
        <f t="shared" si="15"/>
        <v>1107104</v>
      </c>
      <c r="F85">
        <f t="shared" si="16"/>
        <v>2260</v>
      </c>
      <c r="G85">
        <f t="shared" si="17"/>
        <v>5598</v>
      </c>
      <c r="H85">
        <f t="shared" si="18"/>
        <v>12288</v>
      </c>
      <c r="I85">
        <f t="shared" si="19"/>
        <v>25206</v>
      </c>
    </row>
    <row r="86" spans="1:9" x14ac:dyDescent="0.25">
      <c r="A86" s="7">
        <v>85</v>
      </c>
      <c r="B86">
        <f t="shared" si="12"/>
        <v>119908</v>
      </c>
      <c r="C86">
        <f t="shared" si="13"/>
        <v>280134</v>
      </c>
      <c r="D86">
        <f t="shared" si="14"/>
        <v>581745</v>
      </c>
      <c r="E86">
        <f t="shared" si="15"/>
        <v>1132585</v>
      </c>
      <c r="F86">
        <f t="shared" si="16"/>
        <v>2276</v>
      </c>
      <c r="G86">
        <f t="shared" si="17"/>
        <v>5646</v>
      </c>
      <c r="H86">
        <f t="shared" si="18"/>
        <v>12406</v>
      </c>
      <c r="I86">
        <f t="shared" si="19"/>
        <v>25481</v>
      </c>
    </row>
    <row r="87" spans="1:9" x14ac:dyDescent="0.25">
      <c r="A87" s="8">
        <v>86</v>
      </c>
      <c r="B87">
        <f t="shared" si="12"/>
        <v>122200</v>
      </c>
      <c r="C87">
        <f t="shared" si="13"/>
        <v>285827</v>
      </c>
      <c r="D87">
        <f t="shared" si="14"/>
        <v>594270</v>
      </c>
      <c r="E87">
        <f t="shared" si="15"/>
        <v>1158340</v>
      </c>
      <c r="F87">
        <f t="shared" si="16"/>
        <v>2292</v>
      </c>
      <c r="G87">
        <f t="shared" si="17"/>
        <v>5693</v>
      </c>
      <c r="H87">
        <f t="shared" si="18"/>
        <v>12525</v>
      </c>
      <c r="I87">
        <f t="shared" si="19"/>
        <v>25755</v>
      </c>
    </row>
    <row r="88" spans="1:9" x14ac:dyDescent="0.25">
      <c r="A88" s="7">
        <v>87</v>
      </c>
      <c r="B88">
        <f t="shared" si="12"/>
        <v>124508</v>
      </c>
      <c r="C88">
        <f t="shared" si="13"/>
        <v>291567</v>
      </c>
      <c r="D88">
        <f t="shared" si="14"/>
        <v>606914</v>
      </c>
      <c r="E88">
        <f t="shared" si="15"/>
        <v>1184369</v>
      </c>
      <c r="F88">
        <f t="shared" si="16"/>
        <v>2308</v>
      </c>
      <c r="G88">
        <f t="shared" si="17"/>
        <v>5740</v>
      </c>
      <c r="H88">
        <f t="shared" si="18"/>
        <v>12644</v>
      </c>
      <c r="I88">
        <f t="shared" si="19"/>
        <v>26029</v>
      </c>
    </row>
    <row r="89" spans="1:9" x14ac:dyDescent="0.25">
      <c r="A89" s="8">
        <v>88</v>
      </c>
      <c r="B89">
        <f t="shared" si="12"/>
        <v>126833</v>
      </c>
      <c r="C89">
        <f t="shared" si="13"/>
        <v>297354</v>
      </c>
      <c r="D89">
        <f t="shared" si="14"/>
        <v>619676</v>
      </c>
      <c r="E89">
        <f t="shared" si="15"/>
        <v>1210672</v>
      </c>
      <c r="F89">
        <f t="shared" si="16"/>
        <v>2325</v>
      </c>
      <c r="G89">
        <f t="shared" si="17"/>
        <v>5787</v>
      </c>
      <c r="H89">
        <f t="shared" si="18"/>
        <v>12762</v>
      </c>
      <c r="I89">
        <f t="shared" si="19"/>
        <v>26303</v>
      </c>
    </row>
    <row r="90" spans="1:9" x14ac:dyDescent="0.25">
      <c r="A90" s="7">
        <v>89</v>
      </c>
      <c r="B90">
        <f t="shared" si="12"/>
        <v>129173</v>
      </c>
      <c r="C90">
        <f t="shared" si="13"/>
        <v>303188</v>
      </c>
      <c r="D90">
        <f t="shared" si="14"/>
        <v>632556</v>
      </c>
      <c r="E90">
        <f t="shared" si="15"/>
        <v>1237249</v>
      </c>
      <c r="F90">
        <f t="shared" si="16"/>
        <v>2340</v>
      </c>
      <c r="G90">
        <f t="shared" si="17"/>
        <v>5834</v>
      </c>
      <c r="H90">
        <f t="shared" si="18"/>
        <v>12880</v>
      </c>
      <c r="I90">
        <f t="shared" si="19"/>
        <v>26577</v>
      </c>
    </row>
    <row r="91" spans="1:9" x14ac:dyDescent="0.25">
      <c r="A91" s="8">
        <v>90</v>
      </c>
      <c r="B91">
        <f t="shared" si="12"/>
        <v>131530</v>
      </c>
      <c r="C91">
        <f t="shared" si="13"/>
        <v>309068</v>
      </c>
      <c r="D91">
        <f t="shared" si="14"/>
        <v>645553</v>
      </c>
      <c r="E91">
        <f t="shared" si="15"/>
        <v>1264099</v>
      </c>
      <c r="F91">
        <f t="shared" si="16"/>
        <v>2357</v>
      </c>
      <c r="G91">
        <f t="shared" si="17"/>
        <v>5880</v>
      </c>
      <c r="H91">
        <f t="shared" si="18"/>
        <v>12997</v>
      </c>
      <c r="I91">
        <f t="shared" si="19"/>
        <v>26850</v>
      </c>
    </row>
    <row r="92" spans="1:9" x14ac:dyDescent="0.25">
      <c r="A92" s="7">
        <v>91</v>
      </c>
      <c r="B92">
        <f t="shared" si="12"/>
        <v>133902</v>
      </c>
      <c r="C92">
        <f t="shared" si="13"/>
        <v>314995</v>
      </c>
      <c r="D92">
        <f t="shared" si="14"/>
        <v>658668</v>
      </c>
      <c r="E92">
        <f t="shared" si="15"/>
        <v>1291222</v>
      </c>
      <c r="F92">
        <f t="shared" si="16"/>
        <v>2372</v>
      </c>
      <c r="G92">
        <f t="shared" si="17"/>
        <v>5927</v>
      </c>
      <c r="H92">
        <f t="shared" si="18"/>
        <v>13115</v>
      </c>
      <c r="I92">
        <f t="shared" si="19"/>
        <v>27123</v>
      </c>
    </row>
    <row r="93" spans="1:9" x14ac:dyDescent="0.25">
      <c r="A93" s="8">
        <v>92</v>
      </c>
      <c r="B93">
        <f t="shared" si="12"/>
        <v>136291</v>
      </c>
      <c r="C93">
        <f t="shared" si="13"/>
        <v>320968</v>
      </c>
      <c r="D93">
        <f t="shared" si="14"/>
        <v>671900</v>
      </c>
      <c r="E93">
        <f t="shared" si="15"/>
        <v>1318617</v>
      </c>
      <c r="F93">
        <f t="shared" si="16"/>
        <v>2389</v>
      </c>
      <c r="G93">
        <f t="shared" si="17"/>
        <v>5973</v>
      </c>
      <c r="H93">
        <f t="shared" si="18"/>
        <v>13232</v>
      </c>
      <c r="I93">
        <f t="shared" si="19"/>
        <v>27395</v>
      </c>
    </row>
    <row r="94" spans="1:9" x14ac:dyDescent="0.25">
      <c r="A94" s="7">
        <v>93</v>
      </c>
      <c r="B94">
        <f t="shared" si="12"/>
        <v>138695</v>
      </c>
      <c r="C94">
        <f t="shared" si="13"/>
        <v>326987</v>
      </c>
      <c r="D94">
        <f t="shared" si="14"/>
        <v>685248</v>
      </c>
      <c r="E94">
        <f t="shared" si="15"/>
        <v>1346285</v>
      </c>
      <c r="F94">
        <f t="shared" si="16"/>
        <v>2404</v>
      </c>
      <c r="G94">
        <f t="shared" si="17"/>
        <v>6019</v>
      </c>
      <c r="H94">
        <f t="shared" si="18"/>
        <v>13348</v>
      </c>
      <c r="I94">
        <f t="shared" si="19"/>
        <v>27668</v>
      </c>
    </row>
    <row r="95" spans="1:9" x14ac:dyDescent="0.25">
      <c r="A95" s="8">
        <v>94</v>
      </c>
      <c r="B95">
        <f t="shared" si="12"/>
        <v>141115</v>
      </c>
      <c r="C95">
        <f t="shared" si="13"/>
        <v>333052</v>
      </c>
      <c r="D95">
        <f t="shared" si="14"/>
        <v>698714</v>
      </c>
      <c r="E95">
        <f t="shared" si="15"/>
        <v>1374224</v>
      </c>
      <c r="F95">
        <f t="shared" si="16"/>
        <v>2420</v>
      </c>
      <c r="G95">
        <f t="shared" si="17"/>
        <v>6065</v>
      </c>
      <c r="H95">
        <f t="shared" si="18"/>
        <v>13466</v>
      </c>
      <c r="I95">
        <f t="shared" si="19"/>
        <v>27939</v>
      </c>
    </row>
    <row r="96" spans="1:9" x14ac:dyDescent="0.25">
      <c r="A96" s="7">
        <v>95</v>
      </c>
      <c r="B96">
        <f t="shared" si="12"/>
        <v>143550</v>
      </c>
      <c r="C96">
        <f t="shared" si="13"/>
        <v>339163</v>
      </c>
      <c r="D96">
        <f t="shared" si="14"/>
        <v>712295</v>
      </c>
      <c r="E96">
        <f t="shared" si="15"/>
        <v>1402436</v>
      </c>
      <c r="F96">
        <f t="shared" si="16"/>
        <v>2435</v>
      </c>
      <c r="G96">
        <f t="shared" si="17"/>
        <v>6111</v>
      </c>
      <c r="H96">
        <f t="shared" si="18"/>
        <v>13581</v>
      </c>
      <c r="I96">
        <f t="shared" si="19"/>
        <v>28212</v>
      </c>
    </row>
    <row r="97" spans="1:9" x14ac:dyDescent="0.25">
      <c r="A97" s="8">
        <v>96</v>
      </c>
      <c r="B97">
        <f t="shared" si="12"/>
        <v>146002</v>
      </c>
      <c r="C97">
        <f t="shared" si="13"/>
        <v>345320</v>
      </c>
      <c r="D97">
        <f t="shared" si="14"/>
        <v>725993</v>
      </c>
      <c r="E97">
        <f t="shared" si="15"/>
        <v>1430918</v>
      </c>
      <c r="F97">
        <f t="shared" si="16"/>
        <v>2452</v>
      </c>
      <c r="G97">
        <f t="shared" si="17"/>
        <v>6157</v>
      </c>
      <c r="H97">
        <f t="shared" si="18"/>
        <v>13698</v>
      </c>
      <c r="I97">
        <f t="shared" si="19"/>
        <v>28482</v>
      </c>
    </row>
    <row r="98" spans="1:9" x14ac:dyDescent="0.25">
      <c r="A98" s="7">
        <v>97</v>
      </c>
      <c r="B98">
        <f t="shared" ref="B98:B101" si="20">ROUND( $N$3*POWER(A98-1,$N$4), 0)</f>
        <v>148468</v>
      </c>
      <c r="C98">
        <f t="shared" si="13"/>
        <v>351522</v>
      </c>
      <c r="D98">
        <f t="shared" si="14"/>
        <v>739807</v>
      </c>
      <c r="E98">
        <f t="shared" si="15"/>
        <v>1459672</v>
      </c>
      <c r="F98">
        <f t="shared" si="16"/>
        <v>2466</v>
      </c>
      <c r="G98">
        <f t="shared" si="17"/>
        <v>6202</v>
      </c>
      <c r="H98">
        <f t="shared" si="18"/>
        <v>13814</v>
      </c>
      <c r="I98">
        <f t="shared" si="19"/>
        <v>28754</v>
      </c>
    </row>
    <row r="99" spans="1:9" x14ac:dyDescent="0.25">
      <c r="A99" s="8">
        <v>98</v>
      </c>
      <c r="B99">
        <f t="shared" si="20"/>
        <v>150951</v>
      </c>
      <c r="C99">
        <f t="shared" si="13"/>
        <v>357769</v>
      </c>
      <c r="D99">
        <f t="shared" si="14"/>
        <v>753736</v>
      </c>
      <c r="E99">
        <f t="shared" si="15"/>
        <v>1488697</v>
      </c>
      <c r="F99">
        <f t="shared" si="16"/>
        <v>2483</v>
      </c>
      <c r="G99">
        <f t="shared" si="17"/>
        <v>6247</v>
      </c>
      <c r="H99">
        <f t="shared" si="18"/>
        <v>13929</v>
      </c>
      <c r="I99">
        <f t="shared" si="19"/>
        <v>29025</v>
      </c>
    </row>
    <row r="100" spans="1:9" x14ac:dyDescent="0.25">
      <c r="A100" s="7">
        <v>99</v>
      </c>
      <c r="B100">
        <f t="shared" si="20"/>
        <v>153448</v>
      </c>
      <c r="C100">
        <f t="shared" si="13"/>
        <v>364062</v>
      </c>
      <c r="D100">
        <f t="shared" si="14"/>
        <v>767780</v>
      </c>
      <c r="E100">
        <f t="shared" si="15"/>
        <v>1517992</v>
      </c>
      <c r="F100">
        <f t="shared" si="16"/>
        <v>2497</v>
      </c>
      <c r="G100">
        <f t="shared" si="17"/>
        <v>6293</v>
      </c>
      <c r="H100">
        <f t="shared" si="18"/>
        <v>14044</v>
      </c>
      <c r="I100">
        <f t="shared" si="19"/>
        <v>29295</v>
      </c>
    </row>
    <row r="101" spans="1:9" x14ac:dyDescent="0.25">
      <c r="A101" s="8">
        <v>100</v>
      </c>
      <c r="B101">
        <f t="shared" si="20"/>
        <v>155961</v>
      </c>
      <c r="C101">
        <f t="shared" si="13"/>
        <v>370400</v>
      </c>
      <c r="D101">
        <f t="shared" si="14"/>
        <v>781940</v>
      </c>
      <c r="E101">
        <f t="shared" si="15"/>
        <v>1547558</v>
      </c>
      <c r="F101">
        <f t="shared" si="16"/>
        <v>2513</v>
      </c>
      <c r="G101">
        <f t="shared" si="17"/>
        <v>6338</v>
      </c>
      <c r="H101">
        <f t="shared" si="18"/>
        <v>14160</v>
      </c>
      <c r="I101">
        <f t="shared" si="19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I24" sqref="I24"/>
    </sheetView>
  </sheetViews>
  <sheetFormatPr defaultRowHeight="15" x14ac:dyDescent="0.25"/>
  <cols>
    <col min="1" max="1" width="14" customWidth="1"/>
    <col min="3" max="3" width="15" bestFit="1" customWidth="1"/>
    <col min="4" max="5" width="17.7109375" bestFit="1" customWidth="1"/>
    <col min="6" max="6" width="17.42578125" bestFit="1" customWidth="1"/>
    <col min="7" max="7" width="12.28515625" bestFit="1" customWidth="1"/>
  </cols>
  <sheetData>
    <row r="1" spans="1:7" x14ac:dyDescent="0.25">
      <c r="A1" s="18" t="s">
        <v>0</v>
      </c>
      <c r="B1" s="18" t="s">
        <v>499</v>
      </c>
      <c r="C1" s="18" t="s">
        <v>500</v>
      </c>
      <c r="D1" s="18" t="s">
        <v>501</v>
      </c>
      <c r="E1" s="18" t="s">
        <v>508</v>
      </c>
      <c r="F1" s="18" t="s">
        <v>502</v>
      </c>
      <c r="G1" s="18" t="s">
        <v>503</v>
      </c>
    </row>
    <row r="2" spans="1:7" x14ac:dyDescent="0.25">
      <c r="A2" t="s">
        <v>504</v>
      </c>
      <c r="B2" s="8">
        <v>1</v>
      </c>
      <c r="C2" s="8">
        <v>20</v>
      </c>
      <c r="D2" s="8">
        <v>40</v>
      </c>
      <c r="E2" s="8">
        <v>10000</v>
      </c>
      <c r="F2" t="s">
        <v>124</v>
      </c>
      <c r="G2" s="8">
        <v>5</v>
      </c>
    </row>
    <row r="3" spans="1:7" x14ac:dyDescent="0.25">
      <c r="A3" t="s">
        <v>504</v>
      </c>
      <c r="B3" s="8">
        <v>2</v>
      </c>
      <c r="C3" s="8">
        <v>40</v>
      </c>
      <c r="D3" s="8">
        <v>60</v>
      </c>
      <c r="E3" s="8">
        <v>50000</v>
      </c>
      <c r="F3" t="s">
        <v>124</v>
      </c>
      <c r="G3" s="8">
        <v>10</v>
      </c>
    </row>
    <row r="4" spans="1:7" x14ac:dyDescent="0.25">
      <c r="A4" t="s">
        <v>504</v>
      </c>
      <c r="B4" s="8">
        <v>3</v>
      </c>
      <c r="C4" s="8">
        <v>60</v>
      </c>
      <c r="D4" s="8">
        <v>80</v>
      </c>
      <c r="E4" s="8">
        <v>200000</v>
      </c>
      <c r="F4" t="s">
        <v>124</v>
      </c>
      <c r="G4" s="8">
        <v>15</v>
      </c>
    </row>
    <row r="5" spans="1:7" x14ac:dyDescent="0.25">
      <c r="A5" t="s">
        <v>504</v>
      </c>
      <c r="B5" s="8">
        <v>4</v>
      </c>
      <c r="C5" s="8">
        <v>80</v>
      </c>
      <c r="D5" s="8">
        <v>100</v>
      </c>
      <c r="E5" s="8">
        <v>500000</v>
      </c>
      <c r="F5" t="s">
        <v>124</v>
      </c>
      <c r="G5" s="8">
        <v>20</v>
      </c>
    </row>
    <row r="6" spans="1:7" x14ac:dyDescent="0.25">
      <c r="A6" t="s">
        <v>504</v>
      </c>
      <c r="B6" s="40">
        <v>5</v>
      </c>
      <c r="C6" s="40">
        <v>100</v>
      </c>
      <c r="D6" s="40">
        <v>100</v>
      </c>
      <c r="E6" s="40">
        <v>500000</v>
      </c>
      <c r="F6" s="41" t="s">
        <v>124</v>
      </c>
      <c r="G6" s="40">
        <v>20</v>
      </c>
    </row>
    <row r="7" spans="1:7" x14ac:dyDescent="0.25">
      <c r="A7" s="12" t="s">
        <v>505</v>
      </c>
      <c r="B7" s="8">
        <v>1</v>
      </c>
      <c r="C7" s="8">
        <v>20</v>
      </c>
      <c r="D7" s="8">
        <v>40</v>
      </c>
      <c r="E7" s="8">
        <v>10000</v>
      </c>
      <c r="F7" t="s">
        <v>124</v>
      </c>
      <c r="G7" s="8">
        <v>5</v>
      </c>
    </row>
    <row r="8" spans="1:7" x14ac:dyDescent="0.25">
      <c r="A8" s="12" t="s">
        <v>505</v>
      </c>
      <c r="B8" s="8">
        <v>2</v>
      </c>
      <c r="C8" s="8">
        <v>40</v>
      </c>
      <c r="D8" s="8">
        <v>60</v>
      </c>
      <c r="E8" s="8">
        <v>50000</v>
      </c>
      <c r="F8" t="s">
        <v>124</v>
      </c>
      <c r="G8" s="8">
        <v>10</v>
      </c>
    </row>
    <row r="9" spans="1:7" x14ac:dyDescent="0.25">
      <c r="A9" s="12" t="s">
        <v>505</v>
      </c>
      <c r="B9" s="8">
        <v>3</v>
      </c>
      <c r="C9" s="8">
        <v>60</v>
      </c>
      <c r="D9" s="8">
        <v>80</v>
      </c>
      <c r="E9" s="8">
        <v>200000</v>
      </c>
      <c r="F9" t="s">
        <v>124</v>
      </c>
      <c r="G9" s="8">
        <v>15</v>
      </c>
    </row>
    <row r="10" spans="1:7" x14ac:dyDescent="0.25">
      <c r="A10" s="12" t="s">
        <v>505</v>
      </c>
      <c r="B10" s="8">
        <v>4</v>
      </c>
      <c r="C10" s="8">
        <v>80</v>
      </c>
      <c r="D10" s="8">
        <v>100</v>
      </c>
      <c r="E10" s="8">
        <v>500000</v>
      </c>
      <c r="F10" t="s">
        <v>124</v>
      </c>
      <c r="G10" s="8">
        <v>20</v>
      </c>
    </row>
    <row r="11" spans="1:7" x14ac:dyDescent="0.25">
      <c r="A11" s="12" t="s">
        <v>505</v>
      </c>
      <c r="B11" s="40">
        <v>5</v>
      </c>
      <c r="C11" s="40">
        <v>100</v>
      </c>
      <c r="D11" s="40">
        <v>100</v>
      </c>
      <c r="E11" s="40">
        <v>500000</v>
      </c>
      <c r="F11" s="41" t="s">
        <v>124</v>
      </c>
      <c r="G11" s="40">
        <v>20</v>
      </c>
    </row>
    <row r="12" spans="1:7" x14ac:dyDescent="0.25">
      <c r="A12" t="s">
        <v>506</v>
      </c>
      <c r="B12" s="8">
        <v>1</v>
      </c>
      <c r="C12" s="8">
        <v>20</v>
      </c>
      <c r="D12" s="8">
        <v>40</v>
      </c>
      <c r="E12" s="8">
        <v>10000</v>
      </c>
      <c r="F12" t="s">
        <v>124</v>
      </c>
      <c r="G12" s="8">
        <v>5</v>
      </c>
    </row>
    <row r="13" spans="1:7" x14ac:dyDescent="0.25">
      <c r="A13" t="s">
        <v>506</v>
      </c>
      <c r="B13" s="8">
        <v>2</v>
      </c>
      <c r="C13" s="8">
        <v>40</v>
      </c>
      <c r="D13" s="8">
        <v>60</v>
      </c>
      <c r="E13" s="8">
        <v>50000</v>
      </c>
      <c r="F13" t="s">
        <v>124</v>
      </c>
      <c r="G13" s="8">
        <v>10</v>
      </c>
    </row>
    <row r="14" spans="1:7" x14ac:dyDescent="0.25">
      <c r="A14" t="s">
        <v>506</v>
      </c>
      <c r="B14" s="8">
        <v>3</v>
      </c>
      <c r="C14" s="8">
        <v>60</v>
      </c>
      <c r="D14" s="8">
        <v>80</v>
      </c>
      <c r="E14" s="8">
        <v>200000</v>
      </c>
      <c r="F14" t="s">
        <v>124</v>
      </c>
      <c r="G14" s="8">
        <v>15</v>
      </c>
    </row>
    <row r="15" spans="1:7" x14ac:dyDescent="0.25">
      <c r="A15" t="s">
        <v>506</v>
      </c>
      <c r="B15" s="8">
        <v>4</v>
      </c>
      <c r="C15" s="8">
        <v>80</v>
      </c>
      <c r="D15" s="8">
        <v>100</v>
      </c>
      <c r="E15" s="8">
        <v>500000</v>
      </c>
      <c r="F15" t="s">
        <v>124</v>
      </c>
      <c r="G15" s="8">
        <v>20</v>
      </c>
    </row>
    <row r="16" spans="1:7" x14ac:dyDescent="0.25">
      <c r="A16" t="s">
        <v>506</v>
      </c>
      <c r="B16" s="40">
        <v>5</v>
      </c>
      <c r="C16" s="40">
        <v>100</v>
      </c>
      <c r="D16" s="40">
        <v>100</v>
      </c>
      <c r="E16" s="40">
        <v>500000</v>
      </c>
      <c r="F16" s="41" t="s">
        <v>124</v>
      </c>
      <c r="G16" s="40">
        <v>20</v>
      </c>
    </row>
    <row r="17" spans="1:7" x14ac:dyDescent="0.25">
      <c r="A17" s="12" t="s">
        <v>507</v>
      </c>
      <c r="B17" s="8">
        <v>1</v>
      </c>
      <c r="C17" s="8">
        <v>20</v>
      </c>
      <c r="D17" s="8">
        <v>40</v>
      </c>
      <c r="E17" s="8">
        <v>10000</v>
      </c>
      <c r="F17" t="s">
        <v>124</v>
      </c>
      <c r="G17" s="8">
        <v>5</v>
      </c>
    </row>
    <row r="18" spans="1:7" x14ac:dyDescent="0.25">
      <c r="A18" s="12" t="s">
        <v>507</v>
      </c>
      <c r="B18" s="8">
        <v>2</v>
      </c>
      <c r="C18" s="8">
        <v>40</v>
      </c>
      <c r="D18" s="8">
        <v>60</v>
      </c>
      <c r="E18" s="8">
        <v>50000</v>
      </c>
      <c r="F18" t="s">
        <v>124</v>
      </c>
      <c r="G18" s="8">
        <v>10</v>
      </c>
    </row>
    <row r="19" spans="1:7" x14ac:dyDescent="0.25">
      <c r="A19" s="12" t="s">
        <v>507</v>
      </c>
      <c r="B19" s="8">
        <v>3</v>
      </c>
      <c r="C19" s="8">
        <v>60</v>
      </c>
      <c r="D19" s="8">
        <v>80</v>
      </c>
      <c r="E19" s="8">
        <v>200000</v>
      </c>
      <c r="F19" t="s">
        <v>124</v>
      </c>
      <c r="G19" s="8">
        <v>15</v>
      </c>
    </row>
    <row r="20" spans="1:7" x14ac:dyDescent="0.25">
      <c r="A20" s="12" t="s">
        <v>507</v>
      </c>
      <c r="B20" s="8">
        <v>4</v>
      </c>
      <c r="C20" s="8">
        <v>80</v>
      </c>
      <c r="D20" s="8">
        <v>100</v>
      </c>
      <c r="E20" s="8">
        <v>500000</v>
      </c>
      <c r="F20" t="s">
        <v>124</v>
      </c>
      <c r="G20" s="8">
        <v>20</v>
      </c>
    </row>
    <row r="21" spans="1:7" x14ac:dyDescent="0.25">
      <c r="A21" s="12" t="s">
        <v>507</v>
      </c>
      <c r="B21" s="40">
        <v>5</v>
      </c>
      <c r="C21" s="40">
        <v>100</v>
      </c>
      <c r="D21" s="40">
        <v>100</v>
      </c>
      <c r="E21" s="40">
        <v>500000</v>
      </c>
      <c r="F21" s="41" t="s">
        <v>124</v>
      </c>
      <c r="G21" s="40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>
      <selection activeCell="F26" sqref="F26"/>
    </sheetView>
  </sheetViews>
  <sheetFormatPr defaultRowHeight="15" x14ac:dyDescent="0.25"/>
  <cols>
    <col min="1" max="1" width="11.85546875" customWidth="1"/>
    <col min="2" max="2" width="15.28515625" customWidth="1"/>
    <col min="3" max="3" width="17.5703125" customWidth="1"/>
    <col min="4" max="4" width="19.5703125" customWidth="1"/>
    <col min="5" max="5" width="12.85546875" customWidth="1"/>
    <col min="6" max="6" width="17.85546875" customWidth="1"/>
    <col min="7" max="7" width="17.42578125" customWidth="1"/>
  </cols>
  <sheetData>
    <row r="1" spans="1:4" x14ac:dyDescent="0.25">
      <c r="A1" s="18" t="s">
        <v>0</v>
      </c>
      <c r="B1" s="18" t="s">
        <v>499</v>
      </c>
      <c r="C1" s="18" t="s">
        <v>508</v>
      </c>
      <c r="D1" s="18" t="s">
        <v>509</v>
      </c>
    </row>
    <row r="2" spans="1:4" x14ac:dyDescent="0.25">
      <c r="A2" t="s">
        <v>510</v>
      </c>
      <c r="B2" s="7">
        <v>1</v>
      </c>
      <c r="C2">
        <v>10000</v>
      </c>
      <c r="D2">
        <v>60</v>
      </c>
    </row>
    <row r="3" spans="1:4" x14ac:dyDescent="0.25">
      <c r="A3" t="s">
        <v>510</v>
      </c>
      <c r="B3" s="7">
        <v>2</v>
      </c>
      <c r="C3">
        <v>20000</v>
      </c>
      <c r="D3">
        <v>120</v>
      </c>
    </row>
    <row r="4" spans="1:4" x14ac:dyDescent="0.25">
      <c r="A4" t="s">
        <v>510</v>
      </c>
      <c r="B4" s="7">
        <v>3</v>
      </c>
      <c r="C4">
        <v>50000</v>
      </c>
      <c r="D4">
        <v>240</v>
      </c>
    </row>
    <row r="5" spans="1:4" x14ac:dyDescent="0.25">
      <c r="A5" t="s">
        <v>510</v>
      </c>
      <c r="B5" s="7">
        <v>4</v>
      </c>
      <c r="C5">
        <v>100000</v>
      </c>
      <c r="D5">
        <v>420</v>
      </c>
    </row>
    <row r="6" spans="1:4" x14ac:dyDescent="0.25">
      <c r="A6" t="s">
        <v>510</v>
      </c>
      <c r="B6" s="7">
        <v>5</v>
      </c>
      <c r="C6">
        <v>250000</v>
      </c>
      <c r="D6">
        <v>540</v>
      </c>
    </row>
    <row r="7" spans="1:4" x14ac:dyDescent="0.25">
      <c r="A7" t="s">
        <v>510</v>
      </c>
      <c r="B7" s="7">
        <v>6</v>
      </c>
      <c r="C7">
        <v>500000</v>
      </c>
      <c r="D7">
        <v>600</v>
      </c>
    </row>
    <row r="8" spans="1:4" x14ac:dyDescent="0.25">
      <c r="A8" s="12" t="s">
        <v>511</v>
      </c>
      <c r="B8" s="7">
        <v>1</v>
      </c>
      <c r="C8">
        <v>10000</v>
      </c>
      <c r="D8">
        <v>60</v>
      </c>
    </row>
    <row r="9" spans="1:4" x14ac:dyDescent="0.25">
      <c r="A9" s="12" t="s">
        <v>511</v>
      </c>
      <c r="B9" s="7">
        <v>2</v>
      </c>
      <c r="C9">
        <v>20000</v>
      </c>
      <c r="D9">
        <v>120</v>
      </c>
    </row>
    <row r="10" spans="1:4" x14ac:dyDescent="0.25">
      <c r="A10" s="12" t="s">
        <v>511</v>
      </c>
      <c r="B10" s="7">
        <v>3</v>
      </c>
      <c r="C10">
        <v>50000</v>
      </c>
      <c r="D10">
        <v>240</v>
      </c>
    </row>
    <row r="11" spans="1:4" x14ac:dyDescent="0.25">
      <c r="A11" s="12" t="s">
        <v>511</v>
      </c>
      <c r="B11" s="7">
        <v>4</v>
      </c>
      <c r="C11">
        <v>100000</v>
      </c>
      <c r="D11">
        <v>360</v>
      </c>
    </row>
    <row r="12" spans="1:4" x14ac:dyDescent="0.25">
      <c r="A12" s="12" t="s">
        <v>511</v>
      </c>
      <c r="B12" s="7">
        <v>5</v>
      </c>
      <c r="C12">
        <v>250000</v>
      </c>
      <c r="D12">
        <v>420</v>
      </c>
    </row>
    <row r="13" spans="1:4" x14ac:dyDescent="0.25">
      <c r="A13" s="12" t="s">
        <v>511</v>
      </c>
      <c r="B13" s="7">
        <v>6</v>
      </c>
      <c r="C13">
        <v>500000</v>
      </c>
      <c r="D13">
        <v>480</v>
      </c>
    </row>
    <row r="14" spans="1:4" x14ac:dyDescent="0.25">
      <c r="A14" s="33" t="s">
        <v>512</v>
      </c>
      <c r="B14" s="7">
        <v>1</v>
      </c>
      <c r="C14">
        <v>10000</v>
      </c>
      <c r="D14">
        <v>60</v>
      </c>
    </row>
    <row r="15" spans="1:4" x14ac:dyDescent="0.25">
      <c r="A15" s="33" t="s">
        <v>512</v>
      </c>
      <c r="B15" s="7">
        <v>2</v>
      </c>
      <c r="C15">
        <v>20000</v>
      </c>
      <c r="D15">
        <v>120</v>
      </c>
    </row>
    <row r="16" spans="1:4" x14ac:dyDescent="0.25">
      <c r="A16" s="33" t="s">
        <v>512</v>
      </c>
      <c r="B16" s="7">
        <v>3</v>
      </c>
      <c r="C16">
        <v>50000</v>
      </c>
      <c r="D16">
        <v>240</v>
      </c>
    </row>
    <row r="17" spans="1:4" x14ac:dyDescent="0.25">
      <c r="A17" s="33" t="s">
        <v>512</v>
      </c>
      <c r="B17" s="7">
        <v>4</v>
      </c>
      <c r="C17">
        <v>100000</v>
      </c>
      <c r="D17">
        <v>300</v>
      </c>
    </row>
    <row r="18" spans="1:4" x14ac:dyDescent="0.25">
      <c r="A18" s="33" t="s">
        <v>512</v>
      </c>
      <c r="B18" s="7">
        <v>5</v>
      </c>
      <c r="C18">
        <v>250000</v>
      </c>
      <c r="D18">
        <v>360</v>
      </c>
    </row>
    <row r="19" spans="1:4" x14ac:dyDescent="0.25">
      <c r="A19" s="33" t="s">
        <v>512</v>
      </c>
      <c r="B19" s="7">
        <v>6</v>
      </c>
      <c r="C19">
        <v>500000</v>
      </c>
      <c r="D19">
        <v>420</v>
      </c>
    </row>
    <row r="20" spans="1:4" x14ac:dyDescent="0.25">
      <c r="A20" s="12" t="s">
        <v>513</v>
      </c>
      <c r="B20" s="7">
        <v>1</v>
      </c>
      <c r="C20">
        <v>10000</v>
      </c>
      <c r="D20">
        <v>60</v>
      </c>
    </row>
    <row r="21" spans="1:4" x14ac:dyDescent="0.25">
      <c r="A21" s="12" t="s">
        <v>513</v>
      </c>
      <c r="B21" s="7">
        <v>2</v>
      </c>
      <c r="C21">
        <v>20000</v>
      </c>
      <c r="D21">
        <v>120</v>
      </c>
    </row>
    <row r="22" spans="1:4" x14ac:dyDescent="0.25">
      <c r="A22" s="12" t="s">
        <v>513</v>
      </c>
      <c r="B22" s="7">
        <v>3</v>
      </c>
      <c r="C22">
        <v>50000</v>
      </c>
      <c r="D22">
        <v>180</v>
      </c>
    </row>
    <row r="23" spans="1:4" x14ac:dyDescent="0.25">
      <c r="A23" s="12" t="s">
        <v>513</v>
      </c>
      <c r="B23" s="7">
        <v>4</v>
      </c>
      <c r="C23">
        <v>100000</v>
      </c>
      <c r="D23">
        <v>240</v>
      </c>
    </row>
    <row r="24" spans="1:4" x14ac:dyDescent="0.25">
      <c r="A24" s="12" t="s">
        <v>513</v>
      </c>
      <c r="B24" s="7">
        <v>5</v>
      </c>
      <c r="C24">
        <v>250000</v>
      </c>
      <c r="D24">
        <v>300</v>
      </c>
    </row>
    <row r="25" spans="1:4" x14ac:dyDescent="0.25">
      <c r="A25" s="12" t="s">
        <v>513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442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460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32" sqref="H32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448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460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460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460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460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460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460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2026-05-21T08:53:11Z</dcterms:modified>
</cp:coreProperties>
</file>