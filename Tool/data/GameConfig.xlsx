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3" activeTab="9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0" r:id="rId10"/>
    <sheet name="Character" sheetId="11" r:id="rId11"/>
    <sheet name="CharacterStat" sheetId="12" r:id="rId12"/>
    <sheet name="SkillConfig" sheetId="13" r:id="rId13"/>
    <sheet name="CharacterUpgrade" sheetId="14" r:id="rId14"/>
    <sheet name="CharacterAttribut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  <sheet name="Stat_Matrix" sheetId="22" r:id="rId22"/>
  </sheets>
  <definedNames>
    <definedName name="_xlnm._FilterDatabase" localSheetId="0" hidden="1">Item_Master!$A$1:$A$116</definedName>
  </definedNames>
  <calcPr calcId="162913"/>
</workbook>
</file>

<file path=xl/calcChain.xml><?xml version="1.0" encoding="utf-8"?>
<calcChain xmlns="http://schemas.openxmlformats.org/spreadsheetml/2006/main">
  <c r="I101" i="16" l="1"/>
  <c r="E101" i="16"/>
  <c r="D101" i="16"/>
  <c r="H101" i="16" s="1"/>
  <c r="C101" i="16"/>
  <c r="G101" i="16" s="1"/>
  <c r="B101" i="16"/>
  <c r="F101" i="16" s="1"/>
  <c r="I100" i="16"/>
  <c r="E100" i="16"/>
  <c r="D100" i="16"/>
  <c r="H100" i="16" s="1"/>
  <c r="C100" i="16"/>
  <c r="G100" i="16" s="1"/>
  <c r="B100" i="16"/>
  <c r="F100" i="16" s="1"/>
  <c r="I99" i="16"/>
  <c r="E99" i="16"/>
  <c r="D99" i="16"/>
  <c r="H99" i="16" s="1"/>
  <c r="C99" i="16"/>
  <c r="G99" i="16" s="1"/>
  <c r="B99" i="16"/>
  <c r="F99" i="16" s="1"/>
  <c r="I98" i="16"/>
  <c r="E98" i="16"/>
  <c r="D98" i="16"/>
  <c r="H98" i="16" s="1"/>
  <c r="C98" i="16"/>
  <c r="G98" i="16" s="1"/>
  <c r="B98" i="16"/>
  <c r="F98" i="16" s="1"/>
  <c r="I97" i="16"/>
  <c r="E97" i="16"/>
  <c r="D97" i="16"/>
  <c r="H97" i="16" s="1"/>
  <c r="C97" i="16"/>
  <c r="G97" i="16" s="1"/>
  <c r="B97" i="16"/>
  <c r="F97" i="16" s="1"/>
  <c r="I96" i="16"/>
  <c r="E96" i="16"/>
  <c r="D96" i="16"/>
  <c r="H96" i="16" s="1"/>
  <c r="C96" i="16"/>
  <c r="G96" i="16" s="1"/>
  <c r="B96" i="16"/>
  <c r="F96" i="16" s="1"/>
  <c r="I95" i="16"/>
  <c r="E95" i="16"/>
  <c r="D95" i="16"/>
  <c r="H95" i="16" s="1"/>
  <c r="C95" i="16"/>
  <c r="G95" i="16" s="1"/>
  <c r="B95" i="16"/>
  <c r="F95" i="16" s="1"/>
  <c r="I94" i="16"/>
  <c r="E94" i="16"/>
  <c r="D94" i="16"/>
  <c r="H94" i="16" s="1"/>
  <c r="C94" i="16"/>
  <c r="G94" i="16" s="1"/>
  <c r="B94" i="16"/>
  <c r="F94" i="16" s="1"/>
  <c r="I93" i="16"/>
  <c r="E93" i="16"/>
  <c r="D93" i="16"/>
  <c r="H93" i="16" s="1"/>
  <c r="C93" i="16"/>
  <c r="G93" i="16" s="1"/>
  <c r="B93" i="16"/>
  <c r="F93" i="16" s="1"/>
  <c r="I92" i="16"/>
  <c r="E92" i="16"/>
  <c r="D92" i="16"/>
  <c r="H92" i="16" s="1"/>
  <c r="C92" i="16"/>
  <c r="G92" i="16" s="1"/>
  <c r="B92" i="16"/>
  <c r="F92" i="16" s="1"/>
  <c r="I91" i="16"/>
  <c r="E91" i="16"/>
  <c r="D91" i="16"/>
  <c r="H91" i="16" s="1"/>
  <c r="C91" i="16"/>
  <c r="G91" i="16" s="1"/>
  <c r="B91" i="16"/>
  <c r="F91" i="16" s="1"/>
  <c r="I90" i="16"/>
  <c r="E90" i="16"/>
  <c r="D90" i="16"/>
  <c r="H90" i="16" s="1"/>
  <c r="C90" i="16"/>
  <c r="G90" i="16" s="1"/>
  <c r="B90" i="16"/>
  <c r="F90" i="16" s="1"/>
  <c r="I89" i="16"/>
  <c r="E89" i="16"/>
  <c r="D89" i="16"/>
  <c r="H89" i="16" s="1"/>
  <c r="C89" i="16"/>
  <c r="G89" i="16" s="1"/>
  <c r="B89" i="16"/>
  <c r="F89" i="16" s="1"/>
  <c r="I88" i="16"/>
  <c r="E88" i="16"/>
  <c r="D88" i="16"/>
  <c r="H88" i="16" s="1"/>
  <c r="C88" i="16"/>
  <c r="G88" i="16" s="1"/>
  <c r="B88" i="16"/>
  <c r="F88" i="16" s="1"/>
  <c r="I87" i="16"/>
  <c r="E87" i="16"/>
  <c r="D87" i="16"/>
  <c r="H87" i="16" s="1"/>
  <c r="C87" i="16"/>
  <c r="G87" i="16" s="1"/>
  <c r="B87" i="16"/>
  <c r="F87" i="16" s="1"/>
  <c r="I86" i="16"/>
  <c r="E86" i="16"/>
  <c r="D86" i="16"/>
  <c r="H86" i="16" s="1"/>
  <c r="C86" i="16"/>
  <c r="G86" i="16" s="1"/>
  <c r="B86" i="16"/>
  <c r="F86" i="16" s="1"/>
  <c r="I85" i="16"/>
  <c r="E85" i="16"/>
  <c r="D85" i="16"/>
  <c r="H85" i="16" s="1"/>
  <c r="C85" i="16"/>
  <c r="G85" i="16" s="1"/>
  <c r="B85" i="16"/>
  <c r="F85" i="16" s="1"/>
  <c r="I84" i="16"/>
  <c r="E84" i="16"/>
  <c r="D84" i="16"/>
  <c r="H84" i="16" s="1"/>
  <c r="C84" i="16"/>
  <c r="G84" i="16" s="1"/>
  <c r="B84" i="16"/>
  <c r="F84" i="16" s="1"/>
  <c r="I83" i="16"/>
  <c r="E83" i="16"/>
  <c r="D83" i="16"/>
  <c r="H83" i="16" s="1"/>
  <c r="C83" i="16"/>
  <c r="G83" i="16" s="1"/>
  <c r="B83" i="16"/>
  <c r="F83" i="16" s="1"/>
  <c r="I82" i="16"/>
  <c r="E82" i="16"/>
  <c r="D82" i="16"/>
  <c r="H82" i="16" s="1"/>
  <c r="C82" i="16"/>
  <c r="G82" i="16" s="1"/>
  <c r="B82" i="16"/>
  <c r="F82" i="16" s="1"/>
  <c r="I81" i="16"/>
  <c r="E81" i="16"/>
  <c r="D81" i="16"/>
  <c r="H81" i="16" s="1"/>
  <c r="C81" i="16"/>
  <c r="G81" i="16" s="1"/>
  <c r="B81" i="16"/>
  <c r="F81" i="16" s="1"/>
  <c r="I80" i="16"/>
  <c r="E80" i="16"/>
  <c r="D80" i="16"/>
  <c r="H80" i="16" s="1"/>
  <c r="C80" i="16"/>
  <c r="G80" i="16" s="1"/>
  <c r="B80" i="16"/>
  <c r="F80" i="16" s="1"/>
  <c r="I79" i="16"/>
  <c r="E79" i="16"/>
  <c r="D79" i="16"/>
  <c r="H79" i="16" s="1"/>
  <c r="C79" i="16"/>
  <c r="G79" i="16" s="1"/>
  <c r="B79" i="16"/>
  <c r="F79" i="16" s="1"/>
  <c r="I78" i="16"/>
  <c r="E78" i="16"/>
  <c r="D78" i="16"/>
  <c r="H78" i="16" s="1"/>
  <c r="C78" i="16"/>
  <c r="G78" i="16" s="1"/>
  <c r="B78" i="16"/>
  <c r="F78" i="16" s="1"/>
  <c r="I77" i="16"/>
  <c r="E77" i="16"/>
  <c r="D77" i="16"/>
  <c r="H77" i="16" s="1"/>
  <c r="C77" i="16"/>
  <c r="G77" i="16" s="1"/>
  <c r="B77" i="16"/>
  <c r="F77" i="16" s="1"/>
  <c r="I76" i="16"/>
  <c r="E76" i="16"/>
  <c r="D76" i="16"/>
  <c r="H76" i="16" s="1"/>
  <c r="C76" i="16"/>
  <c r="G76" i="16" s="1"/>
  <c r="B76" i="16"/>
  <c r="F76" i="16" s="1"/>
  <c r="I75" i="16"/>
  <c r="E75" i="16"/>
  <c r="D75" i="16"/>
  <c r="H75" i="16" s="1"/>
  <c r="C75" i="16"/>
  <c r="G75" i="16" s="1"/>
  <c r="B75" i="16"/>
  <c r="I74" i="16"/>
  <c r="E74" i="16"/>
  <c r="D74" i="16"/>
  <c r="H74" i="16" s="1"/>
  <c r="C74" i="16"/>
  <c r="G74" i="16" s="1"/>
  <c r="B74" i="16"/>
  <c r="F74" i="16" s="1"/>
  <c r="I73" i="16"/>
  <c r="E73" i="16"/>
  <c r="D73" i="16"/>
  <c r="H73" i="16" s="1"/>
  <c r="C73" i="16"/>
  <c r="G73" i="16" s="1"/>
  <c r="B73" i="16"/>
  <c r="I72" i="16"/>
  <c r="E72" i="16"/>
  <c r="D72" i="16"/>
  <c r="H72" i="16" s="1"/>
  <c r="C72" i="16"/>
  <c r="G72" i="16" s="1"/>
  <c r="B72" i="16"/>
  <c r="F72" i="16" s="1"/>
  <c r="I71" i="16"/>
  <c r="E71" i="16"/>
  <c r="D71" i="16"/>
  <c r="H71" i="16" s="1"/>
  <c r="C71" i="16"/>
  <c r="G71" i="16" s="1"/>
  <c r="B71" i="16"/>
  <c r="I70" i="16"/>
  <c r="E70" i="16"/>
  <c r="D70" i="16"/>
  <c r="H70" i="16" s="1"/>
  <c r="C70" i="16"/>
  <c r="G70" i="16" s="1"/>
  <c r="B70" i="16"/>
  <c r="F70" i="16" s="1"/>
  <c r="I69" i="16"/>
  <c r="E69" i="16"/>
  <c r="D69" i="16"/>
  <c r="H69" i="16" s="1"/>
  <c r="C69" i="16"/>
  <c r="G69" i="16" s="1"/>
  <c r="B69" i="16"/>
  <c r="I68" i="16"/>
  <c r="E68" i="16"/>
  <c r="D68" i="16"/>
  <c r="H68" i="16" s="1"/>
  <c r="C68" i="16"/>
  <c r="G68" i="16" s="1"/>
  <c r="B68" i="16"/>
  <c r="F68" i="16" s="1"/>
  <c r="I67" i="16"/>
  <c r="E67" i="16"/>
  <c r="D67" i="16"/>
  <c r="H67" i="16" s="1"/>
  <c r="C67" i="16"/>
  <c r="G67" i="16" s="1"/>
  <c r="B67" i="16"/>
  <c r="F67" i="16" s="1"/>
  <c r="I66" i="16"/>
  <c r="E66" i="16"/>
  <c r="D66" i="16"/>
  <c r="H66" i="16" s="1"/>
  <c r="C66" i="16"/>
  <c r="G66" i="16" s="1"/>
  <c r="B66" i="16"/>
  <c r="F66" i="16" s="1"/>
  <c r="I65" i="16"/>
  <c r="E65" i="16"/>
  <c r="D65" i="16"/>
  <c r="H65" i="16" s="1"/>
  <c r="C65" i="16"/>
  <c r="G65" i="16" s="1"/>
  <c r="B65" i="16"/>
  <c r="I64" i="16"/>
  <c r="E64" i="16"/>
  <c r="D64" i="16"/>
  <c r="H64" i="16" s="1"/>
  <c r="C64" i="16"/>
  <c r="G64" i="16" s="1"/>
  <c r="B64" i="16"/>
  <c r="F64" i="16" s="1"/>
  <c r="I63" i="16"/>
  <c r="E63" i="16"/>
  <c r="D63" i="16"/>
  <c r="H63" i="16" s="1"/>
  <c r="C63" i="16"/>
  <c r="G63" i="16" s="1"/>
  <c r="B63" i="16"/>
  <c r="I62" i="16"/>
  <c r="E62" i="16"/>
  <c r="D62" i="16"/>
  <c r="H62" i="16" s="1"/>
  <c r="C62" i="16"/>
  <c r="G62" i="16" s="1"/>
  <c r="B62" i="16"/>
  <c r="F62" i="16" s="1"/>
  <c r="I61" i="16"/>
  <c r="E61" i="16"/>
  <c r="D61" i="16"/>
  <c r="H61" i="16" s="1"/>
  <c r="C61" i="16"/>
  <c r="G61" i="16" s="1"/>
  <c r="B61" i="16"/>
  <c r="F61" i="16" s="1"/>
  <c r="I60" i="16"/>
  <c r="E60" i="16"/>
  <c r="D60" i="16"/>
  <c r="H60" i="16" s="1"/>
  <c r="C60" i="16"/>
  <c r="G60" i="16" s="1"/>
  <c r="B60" i="16"/>
  <c r="F60" i="16" s="1"/>
  <c r="I59" i="16"/>
  <c r="E59" i="16"/>
  <c r="D59" i="16"/>
  <c r="H59" i="16" s="1"/>
  <c r="C59" i="16"/>
  <c r="G59" i="16" s="1"/>
  <c r="B59" i="16"/>
  <c r="I58" i="16"/>
  <c r="E58" i="16"/>
  <c r="D58" i="16"/>
  <c r="H58" i="16" s="1"/>
  <c r="C58" i="16"/>
  <c r="G58" i="16" s="1"/>
  <c r="B58" i="16"/>
  <c r="F58" i="16" s="1"/>
  <c r="I57" i="16"/>
  <c r="E57" i="16"/>
  <c r="D57" i="16"/>
  <c r="H57" i="16" s="1"/>
  <c r="C57" i="16"/>
  <c r="G57" i="16" s="1"/>
  <c r="B57" i="16"/>
  <c r="I56" i="16"/>
  <c r="E56" i="16"/>
  <c r="D56" i="16"/>
  <c r="H56" i="16" s="1"/>
  <c r="C56" i="16"/>
  <c r="G56" i="16" s="1"/>
  <c r="B56" i="16"/>
  <c r="F56" i="16" s="1"/>
  <c r="I55" i="16"/>
  <c r="E55" i="16"/>
  <c r="D55" i="16"/>
  <c r="H55" i="16" s="1"/>
  <c r="C55" i="16"/>
  <c r="G55" i="16" s="1"/>
  <c r="B55" i="16"/>
  <c r="I54" i="16"/>
  <c r="E54" i="16"/>
  <c r="D54" i="16"/>
  <c r="H54" i="16" s="1"/>
  <c r="C54" i="16"/>
  <c r="G54" i="16" s="1"/>
  <c r="B54" i="16"/>
  <c r="F54" i="16" s="1"/>
  <c r="I53" i="16"/>
  <c r="E53" i="16"/>
  <c r="D53" i="16"/>
  <c r="H53" i="16" s="1"/>
  <c r="C53" i="16"/>
  <c r="G53" i="16" s="1"/>
  <c r="B53" i="16"/>
  <c r="I52" i="16"/>
  <c r="E52" i="16"/>
  <c r="D52" i="16"/>
  <c r="H52" i="16" s="1"/>
  <c r="C52" i="16"/>
  <c r="G52" i="16" s="1"/>
  <c r="B52" i="16"/>
  <c r="F52" i="16" s="1"/>
  <c r="I51" i="16"/>
  <c r="E51" i="16"/>
  <c r="D51" i="16"/>
  <c r="H51" i="16" s="1"/>
  <c r="C51" i="16"/>
  <c r="G51" i="16" s="1"/>
  <c r="B51" i="16"/>
  <c r="F51" i="16" s="1"/>
  <c r="I50" i="16"/>
  <c r="E50" i="16"/>
  <c r="D50" i="16"/>
  <c r="H50" i="16" s="1"/>
  <c r="C50" i="16"/>
  <c r="G50" i="16" s="1"/>
  <c r="B50" i="16"/>
  <c r="F50" i="16" s="1"/>
  <c r="E49" i="16"/>
  <c r="D49" i="16"/>
  <c r="H49" i="16" s="1"/>
  <c r="C49" i="16"/>
  <c r="G49" i="16" s="1"/>
  <c r="B49" i="16"/>
  <c r="I48" i="16"/>
  <c r="E48" i="16"/>
  <c r="I49" i="16" s="1"/>
  <c r="D48" i="16"/>
  <c r="H48" i="16" s="1"/>
  <c r="C48" i="16"/>
  <c r="G48" i="16" s="1"/>
  <c r="B48" i="16"/>
  <c r="F48" i="16" s="1"/>
  <c r="I47" i="16"/>
  <c r="E47" i="16"/>
  <c r="D47" i="16"/>
  <c r="H47" i="16" s="1"/>
  <c r="C47" i="16"/>
  <c r="G47" i="16" s="1"/>
  <c r="B47" i="16"/>
  <c r="I46" i="16"/>
  <c r="E46" i="16"/>
  <c r="D46" i="16"/>
  <c r="H46" i="16" s="1"/>
  <c r="C46" i="16"/>
  <c r="G46" i="16" s="1"/>
  <c r="B46" i="16"/>
  <c r="F46" i="16" s="1"/>
  <c r="E45" i="16"/>
  <c r="D45" i="16"/>
  <c r="H45" i="16" s="1"/>
  <c r="C45" i="16"/>
  <c r="G45" i="16" s="1"/>
  <c r="B45" i="16"/>
  <c r="F45" i="16" s="1"/>
  <c r="E44" i="16"/>
  <c r="I45" i="16" s="1"/>
  <c r="D44" i="16"/>
  <c r="H44" i="16" s="1"/>
  <c r="C44" i="16"/>
  <c r="G44" i="16" s="1"/>
  <c r="B44" i="16"/>
  <c r="F44" i="16" s="1"/>
  <c r="E43" i="16"/>
  <c r="D43" i="16"/>
  <c r="H43" i="16" s="1"/>
  <c r="C43" i="16"/>
  <c r="G43" i="16" s="1"/>
  <c r="B43" i="16"/>
  <c r="I42" i="16"/>
  <c r="E42" i="16"/>
  <c r="I43" i="16" s="1"/>
  <c r="D42" i="16"/>
  <c r="H42" i="16" s="1"/>
  <c r="C42" i="16"/>
  <c r="G42" i="16" s="1"/>
  <c r="B42" i="16"/>
  <c r="F42" i="16" s="1"/>
  <c r="I41" i="16"/>
  <c r="E41" i="16"/>
  <c r="D41" i="16"/>
  <c r="H41" i="16" s="1"/>
  <c r="C41" i="16"/>
  <c r="G41" i="16" s="1"/>
  <c r="B41" i="16"/>
  <c r="I40" i="16"/>
  <c r="E40" i="16"/>
  <c r="D40" i="16"/>
  <c r="H40" i="16" s="1"/>
  <c r="C40" i="16"/>
  <c r="G40" i="16" s="1"/>
  <c r="B40" i="16"/>
  <c r="F40" i="16" s="1"/>
  <c r="E39" i="16"/>
  <c r="D39" i="16"/>
  <c r="H39" i="16" s="1"/>
  <c r="C39" i="16"/>
  <c r="G39" i="16" s="1"/>
  <c r="B39" i="16"/>
  <c r="I38" i="16"/>
  <c r="E38" i="16"/>
  <c r="I39" i="16" s="1"/>
  <c r="D38" i="16"/>
  <c r="H38" i="16" s="1"/>
  <c r="C38" i="16"/>
  <c r="G38" i="16" s="1"/>
  <c r="B38" i="16"/>
  <c r="F38" i="16" s="1"/>
  <c r="E37" i="16"/>
  <c r="D37" i="16"/>
  <c r="H37" i="16" s="1"/>
  <c r="C37" i="16"/>
  <c r="G37" i="16" s="1"/>
  <c r="B37" i="16"/>
  <c r="I36" i="16"/>
  <c r="E36" i="16"/>
  <c r="I37" i="16" s="1"/>
  <c r="D36" i="16"/>
  <c r="H36" i="16" s="1"/>
  <c r="C36" i="16"/>
  <c r="G36" i="16" s="1"/>
  <c r="B36" i="16"/>
  <c r="F36" i="16" s="1"/>
  <c r="I35" i="16"/>
  <c r="E35" i="16"/>
  <c r="D35" i="16"/>
  <c r="H35" i="16" s="1"/>
  <c r="C35" i="16"/>
  <c r="G35" i="16" s="1"/>
  <c r="B35" i="16"/>
  <c r="F35" i="16" s="1"/>
  <c r="I34" i="16"/>
  <c r="E34" i="16"/>
  <c r="D34" i="16"/>
  <c r="H34" i="16" s="1"/>
  <c r="C34" i="16"/>
  <c r="G34" i="16" s="1"/>
  <c r="B34" i="16"/>
  <c r="F34" i="16" s="1"/>
  <c r="E33" i="16"/>
  <c r="D33" i="16"/>
  <c r="H33" i="16" s="1"/>
  <c r="C33" i="16"/>
  <c r="G33" i="16" s="1"/>
  <c r="B33" i="16"/>
  <c r="I32" i="16"/>
  <c r="E32" i="16"/>
  <c r="I33" i="16" s="1"/>
  <c r="D32" i="16"/>
  <c r="H32" i="16" s="1"/>
  <c r="C32" i="16"/>
  <c r="G32" i="16" s="1"/>
  <c r="B32" i="16"/>
  <c r="F32" i="16" s="1"/>
  <c r="I31" i="16"/>
  <c r="E31" i="16"/>
  <c r="D31" i="16"/>
  <c r="H31" i="16" s="1"/>
  <c r="C31" i="16"/>
  <c r="G31" i="16" s="1"/>
  <c r="B31" i="16"/>
  <c r="I30" i="16"/>
  <c r="E30" i="16"/>
  <c r="D30" i="16"/>
  <c r="H30" i="16" s="1"/>
  <c r="C30" i="16"/>
  <c r="G30" i="16" s="1"/>
  <c r="B30" i="16"/>
  <c r="F30" i="16" s="1"/>
  <c r="E29" i="16"/>
  <c r="D29" i="16"/>
  <c r="H29" i="16" s="1"/>
  <c r="C29" i="16"/>
  <c r="G29" i="16" s="1"/>
  <c r="B29" i="16"/>
  <c r="F29" i="16" s="1"/>
  <c r="E28" i="16"/>
  <c r="I29" i="16" s="1"/>
  <c r="D28" i="16"/>
  <c r="H28" i="16" s="1"/>
  <c r="C28" i="16"/>
  <c r="G28" i="16" s="1"/>
  <c r="B28" i="16"/>
  <c r="F28" i="16" s="1"/>
  <c r="E27" i="16"/>
  <c r="D27" i="16"/>
  <c r="H27" i="16" s="1"/>
  <c r="C27" i="16"/>
  <c r="G27" i="16" s="1"/>
  <c r="B27" i="16"/>
  <c r="I26" i="16"/>
  <c r="E26" i="16"/>
  <c r="I27" i="16" s="1"/>
  <c r="D26" i="16"/>
  <c r="H26" i="16" s="1"/>
  <c r="C26" i="16"/>
  <c r="G26" i="16" s="1"/>
  <c r="B26" i="16"/>
  <c r="F26" i="16" s="1"/>
  <c r="I25" i="16"/>
  <c r="E25" i="16"/>
  <c r="D25" i="16"/>
  <c r="H25" i="16" s="1"/>
  <c r="C25" i="16"/>
  <c r="G25" i="16" s="1"/>
  <c r="B25" i="16"/>
  <c r="I24" i="16"/>
  <c r="E24" i="16"/>
  <c r="D24" i="16"/>
  <c r="H24" i="16" s="1"/>
  <c r="C24" i="16"/>
  <c r="G24" i="16" s="1"/>
  <c r="B24" i="16"/>
  <c r="F24" i="16" s="1"/>
  <c r="E23" i="16"/>
  <c r="D23" i="16"/>
  <c r="H23" i="16" s="1"/>
  <c r="C23" i="16"/>
  <c r="G23" i="16" s="1"/>
  <c r="B23" i="16"/>
  <c r="I22" i="16"/>
  <c r="E22" i="16"/>
  <c r="I23" i="16" s="1"/>
  <c r="D22" i="16"/>
  <c r="H22" i="16" s="1"/>
  <c r="C22" i="16"/>
  <c r="G22" i="16" s="1"/>
  <c r="B22" i="16"/>
  <c r="F22" i="16" s="1"/>
  <c r="E21" i="16"/>
  <c r="D21" i="16"/>
  <c r="H21" i="16" s="1"/>
  <c r="C21" i="16"/>
  <c r="G21" i="16" s="1"/>
  <c r="B21" i="16"/>
  <c r="I20" i="16"/>
  <c r="E20" i="16"/>
  <c r="I21" i="16" s="1"/>
  <c r="D20" i="16"/>
  <c r="H20" i="16" s="1"/>
  <c r="C20" i="16"/>
  <c r="G20" i="16" s="1"/>
  <c r="B20" i="16"/>
  <c r="F20" i="16" s="1"/>
  <c r="I19" i="16"/>
  <c r="E19" i="16"/>
  <c r="D19" i="16"/>
  <c r="H19" i="16" s="1"/>
  <c r="C19" i="16"/>
  <c r="G19" i="16" s="1"/>
  <c r="B19" i="16"/>
  <c r="F19" i="16" s="1"/>
  <c r="I18" i="16"/>
  <c r="E18" i="16"/>
  <c r="D18" i="16"/>
  <c r="H18" i="16" s="1"/>
  <c r="C18" i="16"/>
  <c r="G18" i="16" s="1"/>
  <c r="B18" i="16"/>
  <c r="F18" i="16" s="1"/>
  <c r="E17" i="16"/>
  <c r="D17" i="16"/>
  <c r="H17" i="16" s="1"/>
  <c r="C17" i="16"/>
  <c r="B17" i="16"/>
  <c r="I16" i="16"/>
  <c r="E16" i="16"/>
  <c r="I17" i="16" s="1"/>
  <c r="D16" i="16"/>
  <c r="H16" i="16" s="1"/>
  <c r="C16" i="16"/>
  <c r="G16" i="16" s="1"/>
  <c r="B16" i="16"/>
  <c r="F16" i="16" s="1"/>
  <c r="I15" i="16"/>
  <c r="E15" i="16"/>
  <c r="D15" i="16"/>
  <c r="H15" i="16" s="1"/>
  <c r="C15" i="16"/>
  <c r="G15" i="16" s="1"/>
  <c r="B15" i="16"/>
  <c r="I14" i="16"/>
  <c r="E14" i="16"/>
  <c r="D14" i="16"/>
  <c r="H14" i="16" s="1"/>
  <c r="C14" i="16"/>
  <c r="G14" i="16" s="1"/>
  <c r="B14" i="16"/>
  <c r="F14" i="16" s="1"/>
  <c r="E13" i="16"/>
  <c r="D13" i="16"/>
  <c r="H13" i="16" s="1"/>
  <c r="C13" i="16"/>
  <c r="G13" i="16" s="1"/>
  <c r="B13" i="16"/>
  <c r="F13" i="16" s="1"/>
  <c r="E12" i="16"/>
  <c r="I13" i="16" s="1"/>
  <c r="D12" i="16"/>
  <c r="H12" i="16" s="1"/>
  <c r="C12" i="16"/>
  <c r="G12" i="16" s="1"/>
  <c r="B12" i="16"/>
  <c r="F12" i="16" s="1"/>
  <c r="E11" i="16"/>
  <c r="D11" i="16"/>
  <c r="C11" i="16"/>
  <c r="G11" i="16" s="1"/>
  <c r="B11" i="16"/>
  <c r="I10" i="16"/>
  <c r="E10" i="16"/>
  <c r="I11" i="16" s="1"/>
  <c r="D10" i="16"/>
  <c r="H10" i="16" s="1"/>
  <c r="C10" i="16"/>
  <c r="G10" i="16" s="1"/>
  <c r="B10" i="16"/>
  <c r="F10" i="16" s="1"/>
  <c r="I9" i="16"/>
  <c r="E9" i="16"/>
  <c r="D9" i="16"/>
  <c r="H9" i="16" s="1"/>
  <c r="C9" i="16"/>
  <c r="G9" i="16" s="1"/>
  <c r="B9" i="16"/>
  <c r="I8" i="16"/>
  <c r="E8" i="16"/>
  <c r="D8" i="16"/>
  <c r="H8" i="16" s="1"/>
  <c r="C8" i="16"/>
  <c r="B8" i="16"/>
  <c r="F8" i="16" s="1"/>
  <c r="E7" i="16"/>
  <c r="D7" i="16"/>
  <c r="C7" i="16"/>
  <c r="B7" i="16"/>
  <c r="I6" i="16"/>
  <c r="E6" i="16"/>
  <c r="I7" i="16" s="1"/>
  <c r="D6" i="16"/>
  <c r="H6" i="16" s="1"/>
  <c r="C6" i="16"/>
  <c r="G6" i="16" s="1"/>
  <c r="B6" i="16"/>
  <c r="F6" i="16" s="1"/>
  <c r="E5" i="16"/>
  <c r="D5" i="16"/>
  <c r="C5" i="16"/>
  <c r="G5" i="16" s="1"/>
  <c r="B5" i="16"/>
  <c r="I4" i="16"/>
  <c r="E4" i="16"/>
  <c r="I5" i="16" s="1"/>
  <c r="D4" i="16"/>
  <c r="H4" i="16" s="1"/>
  <c r="C4" i="16"/>
  <c r="B4" i="16"/>
  <c r="E3" i="16"/>
  <c r="D3" i="16"/>
  <c r="H3" i="16" s="1"/>
  <c r="C3" i="16"/>
  <c r="G3" i="16" s="1"/>
  <c r="B3" i="16"/>
  <c r="F3" i="16" s="1"/>
  <c r="E2" i="16"/>
  <c r="I3" i="16" s="1"/>
  <c r="D2" i="16"/>
  <c r="C2" i="16"/>
  <c r="B2" i="16"/>
  <c r="K32" i="12"/>
  <c r="J32" i="12"/>
  <c r="I32" i="12"/>
  <c r="H32" i="12"/>
  <c r="D32" i="14" s="1"/>
  <c r="G32" i="12"/>
  <c r="C32" i="14" s="1"/>
  <c r="D32" i="12"/>
  <c r="C32" i="12"/>
  <c r="F32" i="12" s="1"/>
  <c r="B32" i="14" s="1"/>
  <c r="B32" i="12"/>
  <c r="N32" i="12" s="1"/>
  <c r="M31" i="12"/>
  <c r="L31" i="12"/>
  <c r="K31" i="12"/>
  <c r="G31" i="12"/>
  <c r="C31" i="14" s="1"/>
  <c r="F31" i="12"/>
  <c r="B31" i="14" s="1"/>
  <c r="D31" i="12"/>
  <c r="C31" i="12"/>
  <c r="B31" i="12"/>
  <c r="I30" i="12"/>
  <c r="H30" i="12"/>
  <c r="D30" i="14" s="1"/>
  <c r="G30" i="12"/>
  <c r="C30" i="14" s="1"/>
  <c r="D30" i="12"/>
  <c r="C30" i="12"/>
  <c r="N30" i="12" s="1"/>
  <c r="B30" i="12"/>
  <c r="D29" i="12"/>
  <c r="C29" i="12"/>
  <c r="M29" i="12" s="1"/>
  <c r="B29" i="12"/>
  <c r="K28" i="12"/>
  <c r="J28" i="12"/>
  <c r="I28" i="12"/>
  <c r="H28" i="12"/>
  <c r="D28" i="14" s="1"/>
  <c r="G28" i="12"/>
  <c r="C28" i="14" s="1"/>
  <c r="D28" i="12"/>
  <c r="C28" i="12"/>
  <c r="F28" i="12" s="1"/>
  <c r="B28" i="14" s="1"/>
  <c r="B28" i="12"/>
  <c r="N28" i="12" s="1"/>
  <c r="D27" i="12"/>
  <c r="C27" i="12"/>
  <c r="M27" i="12" s="1"/>
  <c r="B27" i="12"/>
  <c r="D26" i="12"/>
  <c r="C26" i="12"/>
  <c r="N26" i="12" s="1"/>
  <c r="B26" i="12"/>
  <c r="D25" i="12"/>
  <c r="C25" i="12"/>
  <c r="B25" i="12"/>
  <c r="K24" i="12"/>
  <c r="J24" i="12"/>
  <c r="I24" i="12"/>
  <c r="H24" i="12"/>
  <c r="D24" i="14" s="1"/>
  <c r="G24" i="12"/>
  <c r="C24" i="14" s="1"/>
  <c r="D24" i="12"/>
  <c r="C24" i="12"/>
  <c r="F24" i="12" s="1"/>
  <c r="B24" i="14" s="1"/>
  <c r="B24" i="12"/>
  <c r="N24" i="12" s="1"/>
  <c r="D23" i="12"/>
  <c r="C23" i="12"/>
  <c r="G23" i="12" s="1"/>
  <c r="C23" i="14" s="1"/>
  <c r="B23" i="12"/>
  <c r="D22" i="12"/>
  <c r="C22" i="12"/>
  <c r="N22" i="12" s="1"/>
  <c r="B22" i="12"/>
  <c r="K22" i="12" s="1"/>
  <c r="D21" i="12"/>
  <c r="C21" i="12"/>
  <c r="F21" i="12" s="1"/>
  <c r="B21" i="14" s="1"/>
  <c r="B21" i="12"/>
  <c r="K20" i="12"/>
  <c r="J20" i="12"/>
  <c r="I20" i="12"/>
  <c r="H20" i="12"/>
  <c r="D20" i="14" s="1"/>
  <c r="G20" i="12"/>
  <c r="C20" i="14" s="1"/>
  <c r="D20" i="12"/>
  <c r="C20" i="12"/>
  <c r="F20" i="12" s="1"/>
  <c r="B20" i="14" s="1"/>
  <c r="B20" i="12"/>
  <c r="N20" i="12" s="1"/>
  <c r="D19" i="12"/>
  <c r="C19" i="12"/>
  <c r="G19" i="12" s="1"/>
  <c r="C19" i="14" s="1"/>
  <c r="B19" i="12"/>
  <c r="D18" i="12"/>
  <c r="C18" i="12"/>
  <c r="N18" i="12" s="1"/>
  <c r="B18" i="12"/>
  <c r="K18" i="12" s="1"/>
  <c r="D17" i="12"/>
  <c r="C17" i="12"/>
  <c r="B17" i="12"/>
  <c r="K16" i="12"/>
  <c r="J16" i="12"/>
  <c r="I16" i="12"/>
  <c r="H16" i="12"/>
  <c r="D16" i="14" s="1"/>
  <c r="G16" i="12"/>
  <c r="C16" i="14" s="1"/>
  <c r="D16" i="12"/>
  <c r="C16" i="12"/>
  <c r="F16" i="12" s="1"/>
  <c r="B16" i="14" s="1"/>
  <c r="B16" i="12"/>
  <c r="M16" i="12" s="1"/>
  <c r="D15" i="12"/>
  <c r="C15" i="12"/>
  <c r="G15" i="12" s="1"/>
  <c r="C15" i="14" s="1"/>
  <c r="B15" i="12"/>
  <c r="D14" i="12"/>
  <c r="C14" i="12"/>
  <c r="N14" i="12" s="1"/>
  <c r="B14" i="12"/>
  <c r="J14" i="12" s="1"/>
  <c r="D13" i="12"/>
  <c r="C13" i="12"/>
  <c r="B13" i="12"/>
  <c r="L12" i="12"/>
  <c r="K12" i="12"/>
  <c r="J12" i="12"/>
  <c r="I12" i="12"/>
  <c r="H12" i="12"/>
  <c r="D12" i="14" s="1"/>
  <c r="G12" i="12"/>
  <c r="C12" i="14" s="1"/>
  <c r="D12" i="12"/>
  <c r="C12" i="12"/>
  <c r="F12" i="12" s="1"/>
  <c r="B12" i="14" s="1"/>
  <c r="B12" i="12"/>
  <c r="M12" i="12" s="1"/>
  <c r="D11" i="12"/>
  <c r="F11" i="12" s="1"/>
  <c r="B11" i="14" s="1"/>
  <c r="C11" i="12"/>
  <c r="N11" i="12" s="1"/>
  <c r="B11" i="12"/>
  <c r="I10" i="12"/>
  <c r="H10" i="12"/>
  <c r="D10" i="14" s="1"/>
  <c r="G10" i="12"/>
  <c r="C10" i="14" s="1"/>
  <c r="F10" i="12"/>
  <c r="B10" i="14" s="1"/>
  <c r="D10" i="12"/>
  <c r="C10" i="12"/>
  <c r="N10" i="12" s="1"/>
  <c r="B10" i="12"/>
  <c r="J10" i="12" s="1"/>
  <c r="D9" i="12"/>
  <c r="C9" i="12"/>
  <c r="B9" i="12"/>
  <c r="N8" i="12"/>
  <c r="L8" i="12"/>
  <c r="K8" i="12"/>
  <c r="J8" i="12"/>
  <c r="I8" i="12"/>
  <c r="H8" i="12"/>
  <c r="D8" i="14" s="1"/>
  <c r="G8" i="12"/>
  <c r="C8" i="14" s="1"/>
  <c r="F8" i="12"/>
  <c r="B8" i="14" s="1"/>
  <c r="D8" i="12"/>
  <c r="C8" i="12"/>
  <c r="B8" i="12"/>
  <c r="M8" i="12" s="1"/>
  <c r="J7" i="12"/>
  <c r="D7" i="12"/>
  <c r="C7" i="12"/>
  <c r="L7" i="12" s="1"/>
  <c r="B7" i="12"/>
  <c r="N6" i="12"/>
  <c r="M6" i="12"/>
  <c r="I6" i="12"/>
  <c r="D6" i="12"/>
  <c r="C6" i="12"/>
  <c r="B6" i="12"/>
  <c r="J6" i="12" s="1"/>
  <c r="D5" i="12"/>
  <c r="C5" i="12"/>
  <c r="N5" i="12" s="1"/>
  <c r="B5" i="12"/>
  <c r="M5" i="12" s="1"/>
  <c r="L4" i="12"/>
  <c r="K4" i="12"/>
  <c r="J4" i="12"/>
  <c r="I4" i="12"/>
  <c r="D4" i="12"/>
  <c r="N4" i="12" s="1"/>
  <c r="C4" i="12"/>
  <c r="B4" i="12"/>
  <c r="M4" i="12" s="1"/>
  <c r="M3" i="12"/>
  <c r="L3" i="12"/>
  <c r="K3" i="12"/>
  <c r="J3" i="12"/>
  <c r="H3" i="12"/>
  <c r="D3" i="14" s="1"/>
  <c r="G3" i="12"/>
  <c r="C3" i="14" s="1"/>
  <c r="D3" i="12"/>
  <c r="C3" i="12"/>
  <c r="B3" i="12"/>
  <c r="H2" i="12"/>
  <c r="D2" i="14" s="1"/>
  <c r="D2" i="12"/>
  <c r="C2" i="12"/>
  <c r="M2" i="12" s="1"/>
  <c r="B2" i="12"/>
  <c r="I9" i="12" l="1"/>
  <c r="H9" i="12"/>
  <c r="D9" i="14" s="1"/>
  <c r="F9" i="12"/>
  <c r="B9" i="14" s="1"/>
  <c r="G9" i="12"/>
  <c r="C9" i="14" s="1"/>
  <c r="I2" i="12"/>
  <c r="K7" i="12"/>
  <c r="J9" i="12"/>
  <c r="J13" i="12"/>
  <c r="I13" i="12"/>
  <c r="G13" i="12"/>
  <c r="C13" i="14" s="1"/>
  <c r="H13" i="12"/>
  <c r="D13" i="14" s="1"/>
  <c r="J17" i="12"/>
  <c r="I17" i="12"/>
  <c r="G17" i="12"/>
  <c r="C17" i="14" s="1"/>
  <c r="H17" i="12"/>
  <c r="D17" i="14" s="1"/>
  <c r="J25" i="12"/>
  <c r="I25" i="12"/>
  <c r="H25" i="12"/>
  <c r="D25" i="14" s="1"/>
  <c r="G25" i="12"/>
  <c r="C25" i="14" s="1"/>
  <c r="N2" i="12"/>
  <c r="H4" i="12"/>
  <c r="D4" i="14" s="1"/>
  <c r="L6" i="12"/>
  <c r="M7" i="12"/>
  <c r="K9" i="12"/>
  <c r="H11" i="12"/>
  <c r="D11" i="14" s="1"/>
  <c r="F15" i="12"/>
  <c r="B15" i="14" s="1"/>
  <c r="F19" i="12"/>
  <c r="B19" i="14" s="1"/>
  <c r="F23" i="12"/>
  <c r="B23" i="14" s="1"/>
  <c r="G27" i="12"/>
  <c r="C27" i="14" s="1"/>
  <c r="K29" i="12"/>
  <c r="I44" i="16"/>
  <c r="L9" i="12"/>
  <c r="K11" i="12"/>
  <c r="F13" i="12"/>
  <c r="B13" i="14" s="1"/>
  <c r="F17" i="12"/>
  <c r="B17" i="14" s="1"/>
  <c r="F25" i="12"/>
  <c r="B25" i="14" s="1"/>
  <c r="K27" i="12"/>
  <c r="L29" i="12"/>
  <c r="F4" i="12"/>
  <c r="B4" i="14" s="1"/>
  <c r="J15" i="12"/>
  <c r="I15" i="12"/>
  <c r="H15" i="12"/>
  <c r="D15" i="14" s="1"/>
  <c r="J19" i="12"/>
  <c r="I19" i="12"/>
  <c r="H19" i="12"/>
  <c r="D19" i="14" s="1"/>
  <c r="J23" i="12"/>
  <c r="I23" i="12"/>
  <c r="H23" i="12"/>
  <c r="D23" i="14" s="1"/>
  <c r="G4" i="12"/>
  <c r="C4" i="14" s="1"/>
  <c r="G11" i="12"/>
  <c r="C11" i="14" s="1"/>
  <c r="J21" i="12"/>
  <c r="I21" i="12"/>
  <c r="H21" i="12"/>
  <c r="D21" i="14" s="1"/>
  <c r="G21" i="12"/>
  <c r="C21" i="14" s="1"/>
  <c r="F6" i="12"/>
  <c r="B6" i="14" s="1"/>
  <c r="M9" i="12"/>
  <c r="L11" i="12"/>
  <c r="K13" i="12"/>
  <c r="K15" i="12"/>
  <c r="K17" i="12"/>
  <c r="K19" i="12"/>
  <c r="K21" i="12"/>
  <c r="K23" i="12"/>
  <c r="K25" i="12"/>
  <c r="L27" i="12"/>
  <c r="F7" i="16"/>
  <c r="F23" i="16"/>
  <c r="F39" i="16"/>
  <c r="F55" i="16"/>
  <c r="F71" i="16"/>
  <c r="J29" i="12"/>
  <c r="I29" i="12"/>
  <c r="F29" i="12"/>
  <c r="B29" i="14" s="1"/>
  <c r="H29" i="12"/>
  <c r="D29" i="14" s="1"/>
  <c r="G29" i="12"/>
  <c r="C29" i="14" s="1"/>
  <c r="G6" i="12"/>
  <c r="C6" i="14" s="1"/>
  <c r="N9" i="12"/>
  <c r="M11" i="12"/>
  <c r="L13" i="12"/>
  <c r="L15" i="12"/>
  <c r="L17" i="12"/>
  <c r="L19" i="12"/>
  <c r="L21" i="12"/>
  <c r="L23" i="12"/>
  <c r="L25" i="12"/>
  <c r="N29" i="12"/>
  <c r="F4" i="16"/>
  <c r="G7" i="16"/>
  <c r="J27" i="12"/>
  <c r="I27" i="12"/>
  <c r="H27" i="12"/>
  <c r="D27" i="14" s="1"/>
  <c r="F27" i="12"/>
  <c r="B27" i="14" s="1"/>
  <c r="I12" i="16"/>
  <c r="I28" i="16"/>
  <c r="N3" i="12"/>
  <c r="I3" i="12"/>
  <c r="F3" i="12"/>
  <c r="B3" i="14" s="1"/>
  <c r="H6" i="12"/>
  <c r="D6" i="14" s="1"/>
  <c r="M13" i="12"/>
  <c r="M15" i="12"/>
  <c r="M17" i="12"/>
  <c r="M19" i="12"/>
  <c r="M21" i="12"/>
  <c r="M23" i="12"/>
  <c r="M25" i="12"/>
  <c r="N27" i="12"/>
  <c r="K30" i="12"/>
  <c r="J30" i="12"/>
  <c r="G4" i="16"/>
  <c r="H7" i="16"/>
  <c r="F17" i="16"/>
  <c r="F33" i="16"/>
  <c r="F49" i="16"/>
  <c r="F65" i="16"/>
  <c r="N13" i="12"/>
  <c r="N15" i="12"/>
  <c r="N17" i="12"/>
  <c r="N19" i="12"/>
  <c r="N21" i="12"/>
  <c r="N23" i="12"/>
  <c r="N25" i="12"/>
  <c r="G17" i="16"/>
  <c r="K26" i="12"/>
  <c r="J26" i="12"/>
  <c r="F11" i="16"/>
  <c r="F27" i="16"/>
  <c r="F43" i="16"/>
  <c r="F59" i="16"/>
  <c r="F75" i="16"/>
  <c r="H5" i="12"/>
  <c r="D5" i="14" s="1"/>
  <c r="G5" i="12"/>
  <c r="C5" i="14" s="1"/>
  <c r="F5" i="12"/>
  <c r="B5" i="14" s="1"/>
  <c r="F5" i="16"/>
  <c r="G8" i="16"/>
  <c r="H11" i="16"/>
  <c r="F21" i="16"/>
  <c r="F37" i="16"/>
  <c r="F53" i="16"/>
  <c r="F69" i="16"/>
  <c r="G18" i="12"/>
  <c r="C18" i="14" s="1"/>
  <c r="G22" i="12"/>
  <c r="C22" i="14" s="1"/>
  <c r="G26" i="12"/>
  <c r="C26" i="14" s="1"/>
  <c r="L2" i="12"/>
  <c r="K2" i="12"/>
  <c r="J2" i="12"/>
  <c r="I5" i="12"/>
  <c r="H14" i="12"/>
  <c r="D14" i="14" s="1"/>
  <c r="H18" i="12"/>
  <c r="D18" i="14" s="1"/>
  <c r="H22" i="12"/>
  <c r="D22" i="14" s="1"/>
  <c r="H26" i="12"/>
  <c r="D26" i="14" s="1"/>
  <c r="H5" i="16"/>
  <c r="F15" i="16"/>
  <c r="F31" i="16"/>
  <c r="F47" i="16"/>
  <c r="F63" i="16"/>
  <c r="N7" i="12"/>
  <c r="I7" i="12"/>
  <c r="H7" i="12"/>
  <c r="D7" i="14" s="1"/>
  <c r="F2" i="12"/>
  <c r="B2" i="14" s="1"/>
  <c r="I14" i="12"/>
  <c r="I18" i="12"/>
  <c r="I22" i="12"/>
  <c r="I26" i="12"/>
  <c r="N31" i="12"/>
  <c r="J31" i="12"/>
  <c r="I31" i="12"/>
  <c r="H31" i="12"/>
  <c r="D31" i="14" s="1"/>
  <c r="G14" i="12"/>
  <c r="C14" i="14" s="1"/>
  <c r="J5" i="12"/>
  <c r="K5" i="12"/>
  <c r="F7" i="12"/>
  <c r="B7" i="14" s="1"/>
  <c r="G2" i="12"/>
  <c r="C2" i="14" s="1"/>
  <c r="L5" i="12"/>
  <c r="G7" i="12"/>
  <c r="C7" i="14" s="1"/>
  <c r="J11" i="12"/>
  <c r="I11" i="12"/>
  <c r="J18" i="12"/>
  <c r="J22" i="12"/>
  <c r="F9" i="16"/>
  <c r="F25" i="16"/>
  <c r="F41" i="16"/>
  <c r="F57" i="16"/>
  <c r="F73" i="16"/>
  <c r="L16" i="12"/>
  <c r="L20" i="12"/>
  <c r="L24" i="12"/>
  <c r="L28" i="12"/>
  <c r="L32" i="12"/>
  <c r="M20" i="12"/>
  <c r="M24" i="12"/>
  <c r="M28" i="12"/>
  <c r="M32" i="12"/>
  <c r="N12" i="12"/>
  <c r="F14" i="12"/>
  <c r="B14" i="14" s="1"/>
  <c r="N16" i="12"/>
  <c r="F18" i="12"/>
  <c r="B18" i="14" s="1"/>
  <c r="F22" i="12"/>
  <c r="B22" i="14" s="1"/>
  <c r="F26" i="12"/>
  <c r="B26" i="14" s="1"/>
  <c r="F30" i="12"/>
  <c r="B30" i="14" s="1"/>
  <c r="K6" i="12"/>
  <c r="L10" i="12"/>
  <c r="L14" i="12"/>
  <c r="L18" i="12"/>
  <c r="L22" i="12"/>
  <c r="L26" i="12"/>
  <c r="L30" i="12"/>
  <c r="K14" i="12"/>
  <c r="M10" i="12"/>
  <c r="M14" i="12"/>
  <c r="M18" i="12"/>
  <c r="M22" i="12"/>
  <c r="M26" i="12"/>
  <c r="M30" i="12"/>
</calcChain>
</file>

<file path=xl/sharedStrings.xml><?xml version="1.0" encoding="utf-8"?>
<sst xmlns="http://schemas.openxmlformats.org/spreadsheetml/2006/main" count="3072" uniqueCount="967">
  <si>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</si>
  <si>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</si>
  <si>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</si>
  <si>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</si>
  <si>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</si>
  <si>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</si>
  <si>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</si>
  <si>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</si>
  <si>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</si>
  <si>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</si>
  <si>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</si>
  <si>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</si>
  <si>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</si>
  <si>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</si>
  <si>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</si>
  <si>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</si>
  <si>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</si>
  <si>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</si>
  <si>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</si>
  <si>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</si>
  <si>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</si>
  <si>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</si>
  <si>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</si>
  <si>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</si>
  <si>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</si>
  <si>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</si>
  <si>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</si>
  <si>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</si>
  <si>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</si>
  <si>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</si>
  <si>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</si>
  <si>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</si>
  <si>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</si>
  <si>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</si>
  <si>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</si>
  <si>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</si>
  <si>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</si>
  <si>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</si>
  <si>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</si>
  <si>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</si>
  <si>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</si>
  <si>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</si>
  <si>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</si>
  <si>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</si>
  <si>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</si>
  <si>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</si>
  <si>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</si>
  <si>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</si>
  <si>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</si>
  <si>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</si>
  <si>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</si>
  <si>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</si>
  <si>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</si>
  <si>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</si>
  <si>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</si>
  <si>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</si>
  <si>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</si>
  <si>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</si>
  <si>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</si>
  <si>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</si>
  <si>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</si>
  <si>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</si>
  <si>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</si>
  <si>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</si>
  <si>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</si>
  <si>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</si>
  <si>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</si>
  <si>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</si>
  <si>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</si>
  <si>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</si>
  <si>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</si>
  <si>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</si>
  <si>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</si>
  <si>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</si>
  <si>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</si>
  <si>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</si>
  <si>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</si>
  <si>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</si>
  <si>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</si>
  <si>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</si>
  <si>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</si>
  <si>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</si>
  <si>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</si>
  <si>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</si>
  <si>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</si>
  <si>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</si>
  <si>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</si>
  <si>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</si>
  <si>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</si>
  <si>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</si>
  <si>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</si>
  <si>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</si>
  <si>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</si>
  <si>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</si>
  <si>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</si>
  <si>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</si>
  <si>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</si>
  <si>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</si>
  <si>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</si>
  <si>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</si>
  <si>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</si>
  <si>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</si>
  <si>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</si>
  <si>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</si>
  <si>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</si>
  <si>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</si>
  <si>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</si>
  <si>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</si>
  <si>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</si>
  <si>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</si>
  <si>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</si>
  <si>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</si>
  <si>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</si>
  <si>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</si>
  <si>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</si>
  <si>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</si>
  <si>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</si>
  <si>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</si>
  <si>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</si>
  <si>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</si>
  <si>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</si>
  <si>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</si>
  <si>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</si>
  <si>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</si>
  <si>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</si>
  <si>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</si>
  <si>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</si>
  <si>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</si>
  <si>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</si>
  <si>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</si>
  <si>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</si>
  <si>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</si>
  <si>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</si>
  <si>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</si>
  <si>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</si>
  <si>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</si>
  <si>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</si>
  <si>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</si>
  <si>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</si>
  <si>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</si>
  <si>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</si>
  <si>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</si>
  <si>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</si>
  <si>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</si>
  <si>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</si>
  <si>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</si>
  <si>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</si>
  <si>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</si>
  <si>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</si>
  <si>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</si>
  <si>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</si>
  <si>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</si>
  <si>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</si>
  <si>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</si>
  <si>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</si>
  <si>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</si>
  <si>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</si>
  <si>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</si>
  <si>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</si>
  <si>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</si>
  <si>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</si>
  <si>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</si>
  <si>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</si>
  <si>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</si>
  <si>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</si>
  <si>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</si>
  <si>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</si>
  <si>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</si>
  <si>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</si>
  <si>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</si>
  <si>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</si>
  <si>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</si>
  <si>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</si>
  <si>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</si>
  <si>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</si>
  <si>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</si>
  <si>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</si>
  <si>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</si>
  <si>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</si>
  <si>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</si>
  <si>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</si>
  <si>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</si>
  <si>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</si>
  <si>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</si>
  <si>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</si>
  <si>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</si>
  <si>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</si>
  <si>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</si>
  <si>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</si>
  <si>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</si>
  <si>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</si>
  <si>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</si>
  <si>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</si>
  <si>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</si>
  <si>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</si>
  <si>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</si>
  <si>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</si>
  <si>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</si>
  <si>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</si>
  <si>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</si>
  <si>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</si>
  <si>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</si>
  <si>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</si>
  <si>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</si>
  <si>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</si>
  <si>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</si>
  <si>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</si>
  <si>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</si>
  <si>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</si>
  <si>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</si>
  <si>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</si>
  <si>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</si>
  <si>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</si>
  <si>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</si>
  <si>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</si>
  <si>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</si>
  <si>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</si>
  <si>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</si>
  <si>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</si>
  <si>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</si>
  <si>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</si>
  <si>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</si>
  <si>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</si>
  <si>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</si>
  <si>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</si>
  <si>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</si>
  <si>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</si>
  <si>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</si>
  <si>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</si>
  <si>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</si>
  <si>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</si>
  <si>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</si>
  <si>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</si>
  <si>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</si>
  <si>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</si>
  <si>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</si>
  <si>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</si>
  <si>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</si>
  <si>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</si>
  <si>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</si>
  <si>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</si>
  <si>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</si>
  <si>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</si>
  <si>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</si>
  <si>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</si>
  <si>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</si>
  <si>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</si>
  <si>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</si>
  <si>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</si>
  <si>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</si>
  <si>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</si>
  <si>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</si>
  <si>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</si>
  <si>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</si>
  <si>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</si>
  <si>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</si>
  <si>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</si>
  <si>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</si>
  <si>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</si>
  <si>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</si>
  <si>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</si>
  <si>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</si>
  <si>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</si>
  <si>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</si>
  <si>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</si>
  <si>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</si>
  <si>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</si>
  <si>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</si>
  <si>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</si>
  <si>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</si>
  <si>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</si>
  <si>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</si>
  <si>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</si>
  <si>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</si>
  <si>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</si>
  <si>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</si>
  <si>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</si>
  <si>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</si>
  <si>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</si>
  <si>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</si>
  <si>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</si>
  <si>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</si>
  <si>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</si>
  <si>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</si>
  <si>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</si>
  <si>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</si>
  <si>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</si>
  <si>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</si>
  <si>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</si>
  <si>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</si>
  <si>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</si>
  <si>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</si>
  <si>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</si>
  <si>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</si>
  <si>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</si>
  <si>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</si>
  <si>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</si>
  <si>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</si>
  <si>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</si>
  <si>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LingLong_Pagoda</t>
  </si>
  <si>
    <t>STR_LINGLONG_PAGODA_NAME</t>
  </si>
  <si>
    <t>STR_LINGLONG_PAGODA_DES</t>
  </si>
  <si>
    <t>STR_LINGLONG_PAGODA_SKILL</t>
  </si>
  <si>
    <t>Pram01</t>
  </si>
  <si>
    <t>Pram02</t>
  </si>
  <si>
    <t>Pram03</t>
  </si>
  <si>
    <t>Pram04</t>
  </si>
  <si>
    <t>Pram05</t>
  </si>
  <si>
    <t>GlobalStatBuff</t>
  </si>
  <si>
    <t>CRIT_RATE</t>
  </si>
  <si>
    <t>Flat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</si>
  <si>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</si>
  <si>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</si>
  <si>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</si>
  <si>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</si>
  <si>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</si>
  <si>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</si>
  <si>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</si>
  <si>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</si>
  <si>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</si>
  <si>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</si>
  <si>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</si>
  <si>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</si>
  <si>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</si>
  <si>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</si>
  <si>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</si>
  <si>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</si>
  <si>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</si>
  <si>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</si>
  <si>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</si>
  <si>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</si>
  <si>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</si>
  <si>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</si>
  <si>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</si>
  <si>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</si>
  <si>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</si>
  <si>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</si>
  <si>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</si>
  <si>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</si>
  <si>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</si>
  <si>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psv_linglong_pagoda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</si>
  <si>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</si>
  <si>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</si>
  <si>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</si>
  <si>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</si>
  <si>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</si>
  <si>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</si>
  <si>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</si>
  <si>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</si>
  <si>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</si>
  <si>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</si>
  <si>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</si>
  <si>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</si>
  <si>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</si>
  <si>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</si>
  <si>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</si>
  <si>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</si>
  <si>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</si>
  <si>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STR_SUNWUKONG_MAJOR_PASSIVE</t>
  </si>
  <si>
    <t>Kỹ năng Major hút máu 25% sát thương gây ra</t>
  </si>
  <si>
    <t>psv_sunwukong_ultiamte</t>
  </si>
  <si>
    <t>STR_SUNWUKONG_ULT_PASSIVE</t>
  </si>
  <si>
    <t>Tuyệt kỹ giảm 25% Giáp mục tiêu</t>
  </si>
  <si>
    <t>psv_erlangshen_major</t>
  </si>
  <si>
    <t>STR_ERLANGSHEN_MAJOR_PASSIVE</t>
  </si>
  <si>
    <t>Kỹ năng Major tăng thêm 100% Sát thương Bạo Kích</t>
  </si>
  <si>
    <t>psv_lijing_base</t>
  </si>
  <si>
    <t>STR_PSV_LIJING_BASE_DESC</t>
  </si>
  <si>
    <t>Đánh thường nhận khiên 5% Max HP (max 5 tầng)</t>
  </si>
  <si>
    <t>psv_lijing_ultimate</t>
  </si>
  <si>
    <t>STR_PSV_LIJING_ULT_DESC</t>
  </si>
  <si>
    <t>Tuyệt kỹ nộ tăng 30% Max HP vào Base Damage</t>
  </si>
  <si>
    <t>psv_erlangshen_ultimate</t>
  </si>
  <si>
    <t>STR_ERLANGSHEN_ULT_PASSIVE</t>
  </si>
  <si>
    <t>Tuyệt kỹ có 30% Xuyên Giáp</t>
  </si>
  <si>
    <t>Tăng 15%, 20%, 25%, 30%, 35% HP và giảm 10% sát thương nhận vào</t>
  </si>
  <si>
    <t>passive_id</t>
  </si>
  <si>
    <t>stat_type</t>
  </si>
  <si>
    <t>modify_type</t>
  </si>
  <si>
    <t>modify_by_upgrade</t>
  </si>
  <si>
    <t>Percent</t>
  </si>
  <si>
    <t>10, 15, 20, 25, 30, 35</t>
  </si>
  <si>
    <t>CRIT_DMG</t>
  </si>
  <si>
    <t>30, 36, 42, 48, 54, 60</t>
  </si>
  <si>
    <t>10, 15, 20, 25, 31, 34</t>
  </si>
  <si>
    <t>EHR</t>
  </si>
  <si>
    <t>5, 7.5, 10, 12.5, 16, 20</t>
  </si>
  <si>
    <t>10, 15, 20, 25, 35, 40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</si>
  <si>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</si>
  <si>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</si>
  <si>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</si>
  <si>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</si>
  <si>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</si>
  <si>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</si>
  <si>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</si>
  <si>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</si>
  <si>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15, 20, 25, 30, 35, 40</t>
  </si>
  <si>
    <t>HP tối đa tăng {0}%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</si>
  <si>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</si>
  <si>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</si>
  <si>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</si>
  <si>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</si>
  <si>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</si>
  <si>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</si>
  <si>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</si>
  <si>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</si>
  <si>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20, 25, 30, 35, 40, 50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</si>
  <si>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</si>
  <si>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</si>
  <si>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</si>
  <si>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</si>
  <si>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</si>
  <si>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</si>
  <si>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</si>
  <si>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</si>
  <si>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</si>
  <si>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</si>
  <si>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</si>
  <si>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</si>
  <si>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</si>
  <si>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</si>
  <si>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</si>
  <si>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10.0, 15.0, 20.0, 25.0, 30.0, 40.0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</si>
  <si>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</si>
  <si>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</si>
  <si>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</si>
  <si>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</si>
  <si>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</si>
  <si>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</si>
  <si>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</si>
  <si>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</si>
  <si>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</si>
  <si>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</si>
  <si>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</si>
  <si>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</si>
  <si>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20, 25, 30, 30, 30, 30</t>
  </si>
  <si>
    <t>MajorSkill</t>
  </si>
  <si>
    <t>Kỹ năng Major hút máu 25%</t>
  </si>
  <si>
    <t>Eff_IncreaseCritDmg</t>
  </si>
  <si>
    <t>60, 80, 100, 100, 100, 100</t>
  </si>
  <si>
    <t>Kỹ năng Major tăng 100% Crit DMG</t>
  </si>
  <si>
    <t>Eff_AddShield</t>
  </si>
  <si>
    <t>5, 5, 5, 5, 5, 5</t>
  </si>
  <si>
    <t>BasicAttack</t>
  </si>
  <si>
    <t>Eff_HPScalingDamage</t>
  </si>
  <si>
    <t>30, 30, 30, 30, 30, 30</t>
  </si>
  <si>
    <t>UltimateSkill</t>
  </si>
  <si>
    <t>Eff_ArmorPenetration</t>
  </si>
  <si>
    <t>Tuyệt kỹ tăng 30% Xuyên Giáp</t>
  </si>
  <si>
    <t>Eff_ReduceDefense</t>
  </si>
  <si>
    <t>15, 20, 25, 25, 25, 25</t>
  </si>
  <si>
    <t>Tuyệt kỹ giảm 25% DEF mục tiêu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</si>
  <si>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</si>
  <si>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</si>
  <si>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</si>
  <si>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</si>
  <si>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</si>
  <si>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</si>
  <si>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</si>
  <si>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</si>
  <si>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hp</t>
  </si>
  <si>
    <t>Warrior_Pool</t>
  </si>
  <si>
    <t>Armor02</t>
  </si>
  <si>
    <t>Armor03</t>
  </si>
  <si>
    <t>Armor04</t>
  </si>
  <si>
    <t>Armor05</t>
  </si>
  <si>
    <t>Armor06</t>
  </si>
  <si>
    <t>Chestplate</t>
  </si>
  <si>
    <t>def</t>
  </si>
  <si>
    <t>Gloves</t>
  </si>
  <si>
    <t>atk</t>
  </si>
  <si>
    <t>Boots</t>
  </si>
  <si>
    <t>speed</t>
  </si>
  <si>
    <t>Belt</t>
  </si>
  <si>
    <t>3.5</t>
  </si>
  <si>
    <t>Ring</t>
  </si>
  <si>
    <t>crit_rate</t>
  </si>
  <si>
    <t>StatType</t>
  </si>
  <si>
    <t>Min</t>
  </si>
  <si>
    <t>Max</t>
  </si>
  <si>
    <t>Modifier_Type</t>
  </si>
  <si>
    <t>Weight</t>
  </si>
  <si>
    <t>PENETRATION</t>
  </si>
  <si>
    <t>DEF_SHRED</t>
  </si>
  <si>
    <t>Tanker_Pool</t>
  </si>
  <si>
    <t>Assassin_Pool</t>
  </si>
  <si>
    <t>Pieces_Required</t>
  </si>
  <si>
    <t>Bonus_Stat_Type</t>
  </si>
  <si>
    <t>Bonus_Value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</si>
  <si>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</si>
  <si>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</si>
  <si>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</si>
  <si>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</si>
  <si>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</si>
  <si>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</si>
  <si>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</si>
  <si>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</si>
  <si>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</si>
  <si>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</si>
  <si>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None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</si>
  <si>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</si>
  <si>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</si>
  <si>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</si>
  <si>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</si>
  <si>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</si>
  <si>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</si>
  <si>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</si>
  <si>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</si>
  <si>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</si>
  <si>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</si>
  <si>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</si>
  <si>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</si>
  <si>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</si>
  <si>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</si>
  <si>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</si>
  <si>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</si>
  <si>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</si>
  <si>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</si>
  <si>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</si>
  <si>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</si>
  <si>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</si>
  <si>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</si>
  <si>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</si>
  <si>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</si>
  <si>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</si>
  <si>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</si>
  <si>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Class</t>
  </si>
  <si>
    <t>Base</t>
  </si>
  <si>
    <t>Major</t>
  </si>
  <si>
    <t>Ultimate</t>
  </si>
  <si>
    <t>UR</t>
  </si>
  <si>
    <t>Character</t>
  </si>
  <si>
    <t>SunWukong_B</t>
  </si>
  <si>
    <t>SunWukong_M</t>
  </si>
  <si>
    <t>SunWukong_U</t>
  </si>
  <si>
    <t>R</t>
  </si>
  <si>
    <t>TangSanZang_B</t>
  </si>
  <si>
    <t>TangSanZang_M</t>
  </si>
  <si>
    <t>TangSanZang_U</t>
  </si>
  <si>
    <t>SR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</si>
  <si>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</si>
  <si>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</si>
  <si>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</si>
  <si>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</si>
  <si>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</si>
  <si>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</si>
  <si>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</si>
  <si>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</si>
  <si>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</si>
  <si>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SSR</t>
  </si>
  <si>
    <t>ThirdPrinceNezha_B</t>
  </si>
  <si>
    <t>ThirdPrinceNezha_M</t>
  </si>
  <si>
    <t>ThirdPrinceNezha_U</t>
  </si>
  <si>
    <t>ADCarry</t>
  </si>
  <si>
    <t>LittleWhiteDragon_B</t>
  </si>
  <si>
    <t>LittleWhiteDragon_M</t>
  </si>
  <si>
    <t>LittleWhiteDragon_U</t>
  </si>
  <si>
    <t>BullDemonKing_B</t>
  </si>
  <si>
    <t>BullDemonKing_M</t>
  </si>
  <si>
    <t>BullDemonKing_U</t>
  </si>
  <si>
    <t>ErlangShen_B</t>
  </si>
  <si>
    <t>ErlangShen_M</t>
  </si>
  <si>
    <t>ErlangShen_U</t>
  </si>
  <si>
    <t>GuanyinBodhisattva</t>
  </si>
  <si>
    <t>STR_GUANYIN_BODHISATTVA</t>
  </si>
  <si>
    <t>GuanyinBodhisattva_B</t>
  </si>
  <si>
    <t>GuanyinBodhisattva_M</t>
  </si>
  <si>
    <t>GuanyinBodhisattva_U</t>
  </si>
  <si>
    <t>VanguardTiger</t>
  </si>
  <si>
    <t>Boss</t>
  </si>
  <si>
    <t>VanguardTiger_B</t>
  </si>
  <si>
    <t>None_Skill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</si>
  <si>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</si>
  <si>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</si>
  <si>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</si>
  <si>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</si>
  <si>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</si>
  <si>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</si>
  <si>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SilverHornKing_B</t>
  </si>
  <si>
    <t>SilverHornKing_M</t>
  </si>
  <si>
    <t>SilverHornKing_U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</si>
  <si>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</si>
  <si>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</si>
  <si>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</si>
  <si>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</si>
  <si>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</si>
  <si>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</si>
  <si>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HeavenlySoddier</t>
  </si>
  <si>
    <t>STR_HEAVENLY_SODDIERS</t>
  </si>
  <si>
    <t>Creep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</si>
  <si>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</si>
  <si>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</si>
  <si>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</si>
  <si>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</si>
  <si>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</si>
  <si>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</si>
  <si>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</si>
  <si>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</si>
  <si>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</si>
  <si>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</si>
  <si>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CrabSolider</t>
  </si>
  <si>
    <t>STR_CRAB_SOLDIER</t>
  </si>
  <si>
    <t>CrabSolider_B</t>
  </si>
  <si>
    <t>SquidSolider</t>
  </si>
  <si>
    <t>STR_SQUID_SOLDIER</t>
  </si>
  <si>
    <t>SquidSolider_B</t>
  </si>
  <si>
    <t>Benborba</t>
  </si>
  <si>
    <t>STR_BENBORBA</t>
  </si>
  <si>
    <t>Benborba_B</t>
  </si>
  <si>
    <t>Baborben</t>
  </si>
  <si>
    <t>STR_BABORBEN</t>
  </si>
  <si>
    <t>Baborben_B</t>
  </si>
  <si>
    <t>LiJing_B</t>
  </si>
  <si>
    <t>LiJing_M</t>
  </si>
  <si>
    <t>LiJing_U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</si>
  <si>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</si>
  <si>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</si>
  <si>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</si>
  <si>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</si>
  <si>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</si>
  <si>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</si>
  <si>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</si>
  <si>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</si>
  <si>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</si>
  <si>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</si>
  <si>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</si>
  <si>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ThirdDragonPrince_B</t>
  </si>
  <si>
    <t>ThirdDragonPrince_M</t>
  </si>
  <si>
    <t>ThirdDragonPrince_U</t>
  </si>
  <si>
    <t>Stat_Bias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</si>
  <si>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</si>
  <si>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</si>
  <si>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</si>
  <si>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</si>
  <si>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</si>
  <si>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</si>
  <si>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</si>
  <si>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</si>
  <si>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</si>
  <si>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</si>
  <si>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DamageMultiplier</t>
  </si>
  <si>
    <t>MaxCooldown</t>
  </si>
  <si>
    <t>SkillType</t>
  </si>
  <si>
    <t>TargetType</t>
  </si>
  <si>
    <t>Effect</t>
  </si>
  <si>
    <t>Sound</t>
  </si>
  <si>
    <t>SunWukong_B_Name</t>
  </si>
  <si>
    <t>SunWukong_B_Des</t>
  </si>
  <si>
    <t>Melee</t>
  </si>
  <si>
    <t>0.8, 0.9, 1.0</t>
  </si>
  <si>
    <t>0, 0, 0</t>
  </si>
  <si>
    <t>SingleEnemy</t>
  </si>
  <si>
    <t>SunWukong_Attack</t>
  </si>
  <si>
    <t>SunWukong_M_Name</t>
  </si>
  <si>
    <t>SunWukong_M_Des</t>
  </si>
  <si>
    <t>Summon</t>
  </si>
  <si>
    <t>0.6, 0.75, 0.9</t>
  </si>
  <si>
    <t>4.0, 4.0, 3.0</t>
  </si>
  <si>
    <t>ActiveSkill</t>
  </si>
  <si>
    <t>AllEnemies</t>
  </si>
  <si>
    <t>Wind_Blow</t>
  </si>
  <si>
    <t>SunWukong_U_Name</t>
  </si>
  <si>
    <t>SunWukong_U_Des</t>
  </si>
  <si>
    <t>EmpowerAttack</t>
  </si>
  <si>
    <t>1.8, 2.0, 2.2</t>
  </si>
  <si>
    <t>5.0, 5.0, 4.0</t>
  </si>
  <si>
    <t>SunWukong_Main</t>
  </si>
  <si>
    <t>TangSanZang_B_Name</t>
  </si>
  <si>
    <t>TangSanZang_B_Des</t>
  </si>
  <si>
    <t>Range</t>
  </si>
  <si>
    <t>0.8, 1, 1.2</t>
  </si>
  <si>
    <t>TangSanZang_Attack</t>
  </si>
  <si>
    <t>TangSanZang_M_Name</t>
  </si>
  <si>
    <t>TangSanZang_M_Des</t>
  </si>
  <si>
    <t>BuffShield</t>
  </si>
  <si>
    <t>1, 1.5, 1.5</t>
  </si>
  <si>
    <t>Self</t>
  </si>
  <si>
    <t>TangSanZang_Major</t>
  </si>
  <si>
    <t>TangSanZang_U_Name</t>
  </si>
  <si>
    <t>TangSanZang_U_Des</t>
  </si>
  <si>
    <t>1.5, 1.8, 1.8</t>
  </si>
  <si>
    <t>TangSanZang_Main</t>
  </si>
  <si>
    <t>ZhuBaJie_B_Name</t>
  </si>
  <si>
    <t>ZhuBaJie_B_Des</t>
  </si>
  <si>
    <t>ZhuBaJie_Attack</t>
  </si>
  <si>
    <t>ZhuBaJie_M_Name</t>
  </si>
  <si>
    <t>ZhuBaJie_M_Des</t>
  </si>
  <si>
    <t>ZhuBaJie_Major</t>
  </si>
  <si>
    <t>ZhuBaJie_U_Name</t>
  </si>
  <si>
    <t>ZhuBaJie_U_Des</t>
  </si>
  <si>
    <t>ZhuBaJie_Main</t>
  </si>
  <si>
    <t>ShaWujing_B_Name</t>
  </si>
  <si>
    <t>ShaWujing_B_Des</t>
  </si>
  <si>
    <t>ShaWujing_Attack</t>
  </si>
  <si>
    <t>ShaWujing_M_Name</t>
  </si>
  <si>
    <t>ShaWujing_M_Des</t>
  </si>
  <si>
    <t>Healing</t>
  </si>
  <si>
    <t>ShaWujing_Major</t>
  </si>
  <si>
    <t>ShaWujing_U_Name</t>
  </si>
  <si>
    <t>ShaWujing_U_Des</t>
  </si>
  <si>
    <t>ShaWujing_Main</t>
  </si>
  <si>
    <t>DragonKing_B_Name</t>
  </si>
  <si>
    <t>DragonKing_B_Des</t>
  </si>
  <si>
    <t>DragonKing_M_Name</t>
  </si>
  <si>
    <t>DragonKing_M_Des</t>
  </si>
  <si>
    <t>DragonKing_U_Name</t>
  </si>
  <si>
    <t>DragonKing_U_Des</t>
  </si>
  <si>
    <t>ThirdPrinceNezha_B_Name</t>
  </si>
  <si>
    <t>ThirdPrinceNezha_B_Des</t>
  </si>
  <si>
    <t>ThirdPrinceNezha_Attack</t>
  </si>
  <si>
    <t>ThirdPrinceNezha_M_Name</t>
  </si>
  <si>
    <t>ThirdPrinceNezha_M_Des</t>
  </si>
  <si>
    <t>FireRing</t>
  </si>
  <si>
    <t>ThirdPrinceNezha_Major</t>
  </si>
  <si>
    <t>ThirdPrinceNezha_U_Name</t>
  </si>
  <si>
    <t>ThirdPrinceNezha_U_Des</t>
  </si>
  <si>
    <t>ThirdPrinceNezha_Main</t>
  </si>
  <si>
    <t>LittleWhiteDragon_B_Name</t>
  </si>
  <si>
    <t>LittleWhiteDragon_B_Des</t>
  </si>
  <si>
    <t>LittleWhiteDragon_Attack</t>
  </si>
  <si>
    <t>LittleWhiteDragon_M_Name</t>
  </si>
  <si>
    <t>LittleWhiteDragon_M_Des</t>
  </si>
  <si>
    <t>ThunderBall</t>
  </si>
  <si>
    <t>LittleWhiteDragon_Major</t>
  </si>
  <si>
    <t>LittleWhiteDragon_U_Name</t>
  </si>
  <si>
    <t>LittleWhiteDragon_U_Des</t>
  </si>
  <si>
    <t>LittleWhiteDragon_Main</t>
  </si>
  <si>
    <t>BullDemonKing_B_Name</t>
  </si>
  <si>
    <t>BullDemonKing_B_Des</t>
  </si>
  <si>
    <t>VanguardTiger_Attack</t>
  </si>
  <si>
    <t>BullDemonKing_M_Name</t>
  </si>
  <si>
    <t>BullDemonKing_M_Des</t>
  </si>
  <si>
    <t>StatModifier</t>
  </si>
  <si>
    <t>BullDemonKing_Major</t>
  </si>
  <si>
    <t>BullDemonKing_U_Name</t>
  </si>
  <si>
    <t>BullDemonKing_U_Des</t>
  </si>
  <si>
    <t>PoisonBall</t>
  </si>
  <si>
    <t>BullDemonKing_Main</t>
  </si>
  <si>
    <t>ErlangShen_B_Name</t>
  </si>
  <si>
    <t>ErlangShen_B_Des</t>
  </si>
  <si>
    <t>ErlangShen_M_Name</t>
  </si>
  <si>
    <t>ErlangShen_M_Des</t>
  </si>
  <si>
    <t>MajorAttack</t>
  </si>
  <si>
    <t>1.2, 1.4, 1.6</t>
  </si>
  <si>
    <t>ErlangShen_Major</t>
  </si>
  <si>
    <t>ErlangShen_U_Name</t>
  </si>
  <si>
    <t>ErlangShen_U_Des</t>
  </si>
  <si>
    <t>MoonBlade</t>
  </si>
  <si>
    <t>0.6, 0.7, 0.9</t>
  </si>
  <si>
    <t>ErlangShen_Ultimate</t>
  </si>
  <si>
    <t>GuanyinBodhisattva_B_Name</t>
  </si>
  <si>
    <t>GuanyinBodhisattva_B_Des</t>
  </si>
  <si>
    <t>GuanyinBodhisattva_M_Name</t>
  </si>
  <si>
    <t>GuanyinBodhisattva_M_Des</t>
  </si>
  <si>
    <t>GuanyinBodhisattva_U_Name</t>
  </si>
  <si>
    <t>GuanyinBodhisattva_U_Des</t>
  </si>
  <si>
    <t>VanguardTiger_B_Name</t>
  </si>
  <si>
    <t>VanguardTiger_B_Des</t>
  </si>
  <si>
    <t>1, 1, 1</t>
  </si>
  <si>
    <t>TheBoySage_B_Name</t>
  </si>
  <si>
    <t>TheBoySage_B_Des</t>
  </si>
  <si>
    <t>TheBoySage_Attack</t>
  </si>
  <si>
    <t>TheBoySage_M_Name</t>
  </si>
  <si>
    <t>TheBoySage_M_Des</t>
  </si>
  <si>
    <t>FireBall</t>
  </si>
  <si>
    <t>TheBoySage_Major</t>
  </si>
  <si>
    <t>TheBoySage_U_Name</t>
  </si>
  <si>
    <t>TheBoySage_U_Des</t>
  </si>
  <si>
    <t>TheBoySage_Main</t>
  </si>
  <si>
    <t>GoldHornKing_B_Name</t>
  </si>
  <si>
    <t>GoldHornKing_B_Des</t>
  </si>
  <si>
    <t>GoldHornKing_Attack</t>
  </si>
  <si>
    <t>GoldHornKing_M_Name</t>
  </si>
  <si>
    <t>GoldHornKing_M_Des</t>
  </si>
  <si>
    <t>GoldHornKing_Major</t>
  </si>
  <si>
    <t>GoldHornKing_U_Name</t>
  </si>
  <si>
    <t>GoldHornKing_U_Des</t>
  </si>
  <si>
    <t>GoldHornKing_Main</t>
  </si>
  <si>
    <t>SilverHornKing_B_Name</t>
  </si>
  <si>
    <t>SilverHornKing_B_Des</t>
  </si>
  <si>
    <t>SilverHornKing_Attack</t>
  </si>
  <si>
    <t>SilverHornKing_M_Name</t>
  </si>
  <si>
    <t>SilverHornKing_M_Des</t>
  </si>
  <si>
    <t>Torando</t>
  </si>
  <si>
    <t>SilverHornKing_Major</t>
  </si>
  <si>
    <t>SilverHornKing_U_Name</t>
  </si>
  <si>
    <t>SilverHornKing_U_Des</t>
  </si>
  <si>
    <t>YellowWindMonster_B_Name</t>
  </si>
  <si>
    <t>YellowWindMonster_B_Des</t>
  </si>
  <si>
    <t>YellowWindMonster_Attack</t>
  </si>
  <si>
    <t>YellowWindMonster_M_Name</t>
  </si>
  <si>
    <t>YellowWindMonster_M_Des</t>
  </si>
  <si>
    <t>Suriken</t>
  </si>
  <si>
    <t>YellowWindMonster_Major</t>
  </si>
  <si>
    <t>YellowWindMonster_U_Name</t>
  </si>
  <si>
    <t>YellowWindMonster_U_Des</t>
  </si>
  <si>
    <t>DivineWind</t>
  </si>
  <si>
    <t>YellowWindMonster_Main</t>
  </si>
  <si>
    <t>GoldfishDemon_B_Name</t>
  </si>
  <si>
    <t>GoldfishDemon_B_Des</t>
  </si>
  <si>
    <t>GoldfishDemon_Attack</t>
  </si>
  <si>
    <t>GoldfishDemon_M_Name</t>
  </si>
  <si>
    <t>GoldfishDemon_M_Des</t>
  </si>
  <si>
    <t>GoldfishDemon_Major</t>
  </si>
  <si>
    <t>GoldfishDemon_U_Name</t>
  </si>
  <si>
    <t>GoldfishDemon_U_Des</t>
  </si>
  <si>
    <t>GoldfishDemon_Main</t>
  </si>
  <si>
    <t>None_Skill_Name</t>
  </si>
  <si>
    <t>None_Skill_Des</t>
  </si>
  <si>
    <t>HeavenlySoddier_B_Name</t>
  </si>
  <si>
    <t>HeavenlySoddier_B_Des</t>
  </si>
  <si>
    <t>YoungBufflalo_B_Name</t>
  </si>
  <si>
    <t>YoungBufflalo_B_Des</t>
  </si>
  <si>
    <t>Minions_B_Name</t>
  </si>
  <si>
    <t>Minions_B_Des</t>
  </si>
  <si>
    <t>RatMonster_B_Name</t>
  </si>
  <si>
    <t>RatMonster_B_Des</t>
  </si>
  <si>
    <t>CrabSolider_B_Name</t>
  </si>
  <si>
    <t>CrabSolider_B_Des</t>
  </si>
  <si>
    <t>SquidSolider_B_Name</t>
  </si>
  <si>
    <t>SquidSolider_B_Des</t>
  </si>
  <si>
    <t>Benborba_B_Name</t>
  </si>
  <si>
    <t>Benborba_B_Des</t>
  </si>
  <si>
    <t>Baborben_B_Name</t>
  </si>
  <si>
    <t>Baborben_B_Des</t>
  </si>
  <si>
    <t>LiJing_B_Name</t>
  </si>
  <si>
    <t>LiJing_B_Des</t>
  </si>
  <si>
    <t>1, 1.2, 1.5</t>
  </si>
  <si>
    <t>LiJing_Attack</t>
  </si>
  <si>
    <t>LiJing_M_Name</t>
  </si>
  <si>
    <t>LiJing_M_Des</t>
  </si>
  <si>
    <t>0.15, 0.2, 0.25</t>
  </si>
  <si>
    <t>4, 4, 3</t>
  </si>
  <si>
    <t>SameRowAllies</t>
  </si>
  <si>
    <t>LiJing_Major</t>
  </si>
  <si>
    <t>LiJing_U_Name</t>
  </si>
  <si>
    <t>LiJing_U_Des</t>
  </si>
  <si>
    <t>2.2, 2.5, 3.0</t>
  </si>
  <si>
    <t>5, 5, 4</t>
  </si>
  <si>
    <t>LiJing_Ultimate</t>
  </si>
  <si>
    <t>MarshalTianpeng_B_Name</t>
  </si>
  <si>
    <t>MarshalTianpeng_B_Des</t>
  </si>
  <si>
    <t>MarshalTianpeng_M_Name</t>
  </si>
  <si>
    <t>MarshalTianpeng_M_Des</t>
  </si>
  <si>
    <t>MarshalTianpeng_U_Name</t>
  </si>
  <si>
    <t>MarshalTianpeng_U_Des</t>
  </si>
  <si>
    <t>ThirdDragonPrince_B_Name</t>
  </si>
  <si>
    <t>ThirdDragonPrince_B_Des</t>
  </si>
  <si>
    <t>ThirdDragonPrince_M_Name</t>
  </si>
  <si>
    <t>ThirdDragonPrince_M_Des</t>
  </si>
  <si>
    <t>FrozenBall</t>
  </si>
  <si>
    <t>ThirdDragonPrince_Major</t>
  </si>
  <si>
    <t>ThirdDragonPrince_U_Name</t>
  </si>
  <si>
    <t>ThirdDragonPrince_U_Des</t>
  </si>
  <si>
    <t>ThirdDragonPrince_Ultimate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</si>
  <si>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</si>
  <si>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</si>
  <si>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</si>
  <si>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</si>
  <si>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</si>
  <si>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</si>
  <si>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</si>
  <si>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</si>
  <si>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</si>
  <si>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</si>
  <si>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</si>
  <si>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</si>
  <si>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</si>
  <si>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</si>
  <si>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</si>
  <si>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</si>
  <si>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</si>
  <si>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</si>
  <si>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</si>
  <si>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</si>
  <si>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</si>
  <si>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</si>
  <si>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</si>
  <si>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</si>
  <si>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</si>
  <si>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</si>
  <si>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</si>
  <si>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</si>
  <si>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</si>
  <si>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</si>
  <si>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</si>
  <si>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</si>
  <si>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</si>
  <si>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</si>
  <si>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</si>
  <si>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</si>
  <si>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</si>
  <si>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</si>
  <si>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</si>
  <si>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</si>
  <si>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</si>
  <si>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</si>
  <si>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</si>
  <si>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</si>
  <si>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</si>
  <si>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</si>
  <si>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</si>
  <si>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</si>
  <si>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</si>
  <si>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</si>
  <si>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</si>
  <si>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</si>
  <si>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</si>
  <si>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</si>
  <si>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</si>
  <si>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</si>
  <si>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</si>
  <si>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</si>
  <si>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</si>
  <si>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</si>
  <si>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</si>
  <si>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</si>
  <si>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</si>
  <si>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</si>
  <si>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</si>
  <si>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</si>
  <si>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</si>
  <si>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</si>
  <si>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</si>
  <si>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</si>
  <si>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</si>
  <si>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</si>
  <si>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</si>
  <si>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</si>
  <si>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</si>
  <si>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</si>
  <si>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</si>
  <si>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</si>
  <si>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</si>
  <si>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</si>
  <si>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</si>
  <si>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</si>
  <si>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</si>
  <si>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</si>
  <si>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</si>
  <si>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</si>
  <si>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</si>
  <si>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</si>
  <si>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</si>
  <si>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</si>
  <si>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</si>
  <si>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</si>
  <si>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</si>
  <si>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</si>
  <si>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</si>
  <si>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</si>
  <si>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</si>
  <si>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</si>
  <si>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</si>
  <si>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</si>
  <si>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</si>
  <si>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</si>
  <si>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</si>
  <si>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</si>
  <si>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</si>
  <si>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</si>
  <si>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</si>
  <si>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</si>
  <si>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</si>
  <si>
    <t>0.25, 0.3, 0.35</t>
  </si>
  <si>
    <t>0.5, 0.7, 1</t>
  </si>
  <si>
    <t>1.2, 1.5, 1.8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</si>
</sst>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1" fillId="0" borderId="0" xfId="0" applyFont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topLeftCell="A53" zoomScale="115" zoomScaleNormal="115" workbookViewId="0">
      <selection activeCell="D18" sqref="D18"/>
    </sheetView>
  </sheetViews>
  <sheetFormatPr defaultRowHeight="15" x14ac:dyDescent="0.25"/>
  <cols>
    <col min="1" max="1" width="26" style="38" bestFit="1" customWidth="1"/>
    <col min="2" max="2" width="38.7109375" style="38" bestFit="1" customWidth="1"/>
    <col min="3" max="3" width="33.42578125" style="38" bestFit="1" customWidth="1"/>
    <col min="4" max="4" width="37.5703125" style="38" bestFit="1" customWidth="1"/>
    <col min="7" max="7" width="10.85546875" style="38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9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9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9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9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9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9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9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9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9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9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9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9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9" t="s">
        <v>11</v>
      </c>
      <c r="F14" s="5" t="s">
        <v>43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9" t="s">
        <v>11</v>
      </c>
      <c r="F15" s="2" t="s">
        <v>12</v>
      </c>
    </row>
    <row r="16" spans="1:7" x14ac:dyDescent="0.25">
      <c r="A16" s="10" t="s">
        <v>69</v>
      </c>
      <c r="B16" t="s">
        <v>50</v>
      </c>
      <c r="C16" t="s">
        <v>51</v>
      </c>
      <c r="D16" t="s">
        <v>52</v>
      </c>
      <c r="E16" s="39" t="s">
        <v>11</v>
      </c>
      <c r="F16" s="5" t="s">
        <v>43</v>
      </c>
    </row>
    <row r="17" spans="1:6" x14ac:dyDescent="0.25">
      <c r="A17" s="10" t="s">
        <v>70</v>
      </c>
      <c r="B17" t="s">
        <v>71</v>
      </c>
      <c r="C17" t="s">
        <v>72</v>
      </c>
      <c r="D17" t="s">
        <v>73</v>
      </c>
      <c r="E17" s="39" t="s">
        <v>11</v>
      </c>
      <c r="F17" s="2" t="s">
        <v>12</v>
      </c>
    </row>
    <row r="18" spans="1:6" x14ac:dyDescent="0.25">
      <c r="A18" s="10" t="s">
        <v>299</v>
      </c>
      <c r="B18" t="s">
        <v>300</v>
      </c>
      <c r="C18" t="s">
        <v>301</v>
      </c>
      <c r="D18" t="s">
        <v>302</v>
      </c>
      <c r="E18" t="s">
        <v>11</v>
      </c>
      <c r="F18" s="2" t="s">
        <v>12</v>
      </c>
    </row>
    <row r="19" spans="1:6" x14ac:dyDescent="0.25">
      <c r="A19" s="9" t="s">
        <v>74</v>
      </c>
      <c r="B19" t="s">
        <v>75</v>
      </c>
      <c r="C19" t="s">
        <v>76</v>
      </c>
      <c r="D19" t="s">
        <v>77</v>
      </c>
      <c r="E19" s="39" t="s">
        <v>78</v>
      </c>
      <c r="F19" s="5" t="s">
        <v>43</v>
      </c>
    </row>
    <row r="20" spans="1:6" x14ac:dyDescent="0.25">
      <c r="A20" s="9" t="s">
        <v>79</v>
      </c>
      <c r="B20" t="s">
        <v>80</v>
      </c>
      <c r="C20" t="s">
        <v>81</v>
      </c>
      <c r="D20" t="s">
        <v>81</v>
      </c>
      <c r="E20" s="39" t="s">
        <v>78</v>
      </c>
      <c r="F20" s="6" t="s">
        <v>48</v>
      </c>
    </row>
    <row r="21" spans="1:6" x14ac:dyDescent="0.25">
      <c r="A21" s="9" t="s">
        <v>82</v>
      </c>
      <c r="B21" t="s">
        <v>83</v>
      </c>
      <c r="C21" t="s">
        <v>84</v>
      </c>
      <c r="D21" t="s">
        <v>85</v>
      </c>
      <c r="E21" s="39" t="s">
        <v>78</v>
      </c>
      <c r="F21" s="4" t="s">
        <v>38</v>
      </c>
    </row>
    <row r="22" spans="1:6" x14ac:dyDescent="0.25">
      <c r="A22" s="9" t="s">
        <v>86</v>
      </c>
      <c r="B22" t="s">
        <v>87</v>
      </c>
      <c r="C22" t="s">
        <v>88</v>
      </c>
      <c r="D22" t="s">
        <v>89</v>
      </c>
      <c r="E22" s="39" t="s">
        <v>78</v>
      </c>
      <c r="F22" s="4" t="s">
        <v>38</v>
      </c>
    </row>
    <row r="23" spans="1:6" x14ac:dyDescent="0.25">
      <c r="A23" s="9" t="s">
        <v>90</v>
      </c>
      <c r="B23" t="s">
        <v>91</v>
      </c>
      <c r="C23" t="s">
        <v>92</v>
      </c>
      <c r="D23" t="s">
        <v>93</v>
      </c>
      <c r="E23" s="39" t="s">
        <v>78</v>
      </c>
      <c r="F23" s="2" t="s">
        <v>12</v>
      </c>
    </row>
    <row r="24" spans="1:6" x14ac:dyDescent="0.25">
      <c r="A24" s="9" t="s">
        <v>94</v>
      </c>
      <c r="B24" t="s">
        <v>95</v>
      </c>
      <c r="C24" t="s">
        <v>96</v>
      </c>
      <c r="D24" t="s">
        <v>97</v>
      </c>
      <c r="E24" s="39" t="s">
        <v>78</v>
      </c>
      <c r="F24" s="3" t="s">
        <v>25</v>
      </c>
    </row>
    <row r="25" spans="1:6" x14ac:dyDescent="0.25">
      <c r="A25" s="9" t="s">
        <v>98</v>
      </c>
      <c r="B25" t="s">
        <v>99</v>
      </c>
      <c r="C25" t="s">
        <v>100</v>
      </c>
      <c r="D25" t="s">
        <v>101</v>
      </c>
      <c r="E25" s="39" t="s">
        <v>78</v>
      </c>
      <c r="F25" s="2" t="s">
        <v>12</v>
      </c>
    </row>
    <row r="26" spans="1:6" x14ac:dyDescent="0.25">
      <c r="A26" s="9" t="s">
        <v>102</v>
      </c>
      <c r="B26" t="s">
        <v>103</v>
      </c>
      <c r="C26" t="s">
        <v>104</v>
      </c>
      <c r="D26" t="s">
        <v>105</v>
      </c>
      <c r="E26" s="39" t="s">
        <v>78</v>
      </c>
      <c r="F26" s="4" t="s">
        <v>38</v>
      </c>
    </row>
    <row r="27" spans="1:6" x14ac:dyDescent="0.25">
      <c r="A27" s="9" t="s">
        <v>106</v>
      </c>
      <c r="B27" t="s">
        <v>107</v>
      </c>
      <c r="C27" t="s">
        <v>108</v>
      </c>
      <c r="D27" t="s">
        <v>109</v>
      </c>
      <c r="E27" s="39" t="s">
        <v>78</v>
      </c>
      <c r="F27" s="4" t="s">
        <v>38</v>
      </c>
    </row>
    <row r="28" spans="1:6" x14ac:dyDescent="0.25">
      <c r="A28" s="9" t="s">
        <v>110</v>
      </c>
      <c r="B28" t="s">
        <v>111</v>
      </c>
      <c r="C28" t="s">
        <v>112</v>
      </c>
      <c r="D28" t="s">
        <v>113</v>
      </c>
      <c r="E28" s="39" t="s">
        <v>78</v>
      </c>
      <c r="F28" s="4" t="s">
        <v>38</v>
      </c>
    </row>
    <row r="29" spans="1:6" x14ac:dyDescent="0.25">
      <c r="A29" t="s">
        <v>114</v>
      </c>
      <c r="B29" t="s">
        <v>115</v>
      </c>
      <c r="C29" t="s">
        <v>116</v>
      </c>
      <c r="D29" t="s">
        <v>117</v>
      </c>
      <c r="E29" s="39" t="s">
        <v>118</v>
      </c>
      <c r="F29" s="2" t="s">
        <v>12</v>
      </c>
    </row>
    <row r="30" spans="1:6" x14ac:dyDescent="0.25">
      <c r="A30" t="s">
        <v>119</v>
      </c>
      <c r="B30" t="s">
        <v>120</v>
      </c>
      <c r="C30" t="s">
        <v>121</v>
      </c>
      <c r="D30" t="s">
        <v>122</v>
      </c>
      <c r="E30" s="39" t="s">
        <v>118</v>
      </c>
      <c r="F30" s="2" t="s">
        <v>12</v>
      </c>
    </row>
    <row r="31" spans="1:6" x14ac:dyDescent="0.25">
      <c r="A31" t="s">
        <v>123</v>
      </c>
      <c r="B31" t="s">
        <v>124</v>
      </c>
      <c r="C31" t="s">
        <v>125</v>
      </c>
      <c r="D31" t="s">
        <v>126</v>
      </c>
      <c r="E31" s="39" t="s">
        <v>118</v>
      </c>
      <c r="F31" s="2" t="s">
        <v>12</v>
      </c>
    </row>
    <row r="32" spans="1:6" x14ac:dyDescent="0.25">
      <c r="A32" t="s">
        <v>127</v>
      </c>
      <c r="B32" t="s">
        <v>128</v>
      </c>
      <c r="C32" t="s">
        <v>129</v>
      </c>
      <c r="D32" t="s">
        <v>130</v>
      </c>
      <c r="E32" s="39" t="s">
        <v>118</v>
      </c>
      <c r="F32" s="2" t="s">
        <v>12</v>
      </c>
    </row>
    <row r="33" spans="1:6" x14ac:dyDescent="0.25">
      <c r="A33" s="11" t="s">
        <v>131</v>
      </c>
      <c r="B33" t="s">
        <v>132</v>
      </c>
      <c r="C33" t="s">
        <v>133</v>
      </c>
      <c r="D33" t="s">
        <v>134</v>
      </c>
      <c r="E33" s="39" t="s">
        <v>135</v>
      </c>
      <c r="F33" s="2" t="s">
        <v>12</v>
      </c>
    </row>
    <row r="34" spans="1:6" x14ac:dyDescent="0.25">
      <c r="A34" s="11" t="s">
        <v>136</v>
      </c>
      <c r="B34" t="s">
        <v>137</v>
      </c>
      <c r="C34" t="s">
        <v>138</v>
      </c>
      <c r="D34" t="s">
        <v>134</v>
      </c>
      <c r="E34" s="39" t="s">
        <v>135</v>
      </c>
      <c r="F34" s="2" t="s">
        <v>12</v>
      </c>
    </row>
    <row r="35" spans="1:6" x14ac:dyDescent="0.25">
      <c r="A35" s="11" t="s">
        <v>139</v>
      </c>
      <c r="B35" t="s">
        <v>140</v>
      </c>
      <c r="C35" t="s">
        <v>141</v>
      </c>
      <c r="D35" t="s">
        <v>134</v>
      </c>
      <c r="E35" s="39" t="s">
        <v>135</v>
      </c>
      <c r="F35" s="2" t="s">
        <v>12</v>
      </c>
    </row>
    <row r="36" spans="1:6" x14ac:dyDescent="0.25">
      <c r="A36" s="11" t="s">
        <v>142</v>
      </c>
      <c r="B36" t="s">
        <v>143</v>
      </c>
      <c r="C36" t="s">
        <v>144</v>
      </c>
      <c r="D36" t="s">
        <v>134</v>
      </c>
      <c r="E36" s="39" t="s">
        <v>135</v>
      </c>
      <c r="F36" s="2" t="s">
        <v>12</v>
      </c>
    </row>
    <row r="37" spans="1:6" x14ac:dyDescent="0.25">
      <c r="A37" s="11" t="s">
        <v>145</v>
      </c>
      <c r="B37" t="s">
        <v>146</v>
      </c>
      <c r="C37" t="s">
        <v>147</v>
      </c>
      <c r="D37" t="s">
        <v>134</v>
      </c>
      <c r="E37" s="39" t="s">
        <v>135</v>
      </c>
      <c r="F37" s="2" t="s">
        <v>12</v>
      </c>
    </row>
    <row r="38" spans="1:6" x14ac:dyDescent="0.25">
      <c r="A38" s="11" t="s">
        <v>148</v>
      </c>
      <c r="B38" t="s">
        <v>149</v>
      </c>
      <c r="C38" t="s">
        <v>150</v>
      </c>
      <c r="D38" t="s">
        <v>134</v>
      </c>
      <c r="E38" s="39" t="s">
        <v>135</v>
      </c>
      <c r="F38" s="2" t="s">
        <v>12</v>
      </c>
    </row>
    <row r="39" spans="1:6" x14ac:dyDescent="0.25">
      <c r="A39" s="11" t="s">
        <v>151</v>
      </c>
      <c r="B39" t="s">
        <v>152</v>
      </c>
      <c r="C39" t="s">
        <v>153</v>
      </c>
      <c r="D39" t="s">
        <v>134</v>
      </c>
      <c r="E39" s="39" t="s">
        <v>135</v>
      </c>
      <c r="F39" s="2" t="s">
        <v>12</v>
      </c>
    </row>
    <row r="40" spans="1:6" x14ac:dyDescent="0.25">
      <c r="A40" s="11" t="s">
        <v>154</v>
      </c>
      <c r="B40" t="s">
        <v>155</v>
      </c>
      <c r="C40" t="s">
        <v>133</v>
      </c>
      <c r="D40" t="s">
        <v>134</v>
      </c>
      <c r="E40" s="39" t="s">
        <v>135</v>
      </c>
      <c r="F40" s="5" t="s">
        <v>43</v>
      </c>
    </row>
    <row r="41" spans="1:6" x14ac:dyDescent="0.25">
      <c r="A41" s="11" t="s">
        <v>156</v>
      </c>
      <c r="B41" t="s">
        <v>157</v>
      </c>
      <c r="C41" t="s">
        <v>138</v>
      </c>
      <c r="D41" t="s">
        <v>134</v>
      </c>
      <c r="E41" s="39" t="s">
        <v>135</v>
      </c>
      <c r="F41" s="5" t="s">
        <v>43</v>
      </c>
    </row>
    <row r="42" spans="1:6" x14ac:dyDescent="0.25">
      <c r="A42" s="11" t="s">
        <v>158</v>
      </c>
      <c r="B42" t="s">
        <v>159</v>
      </c>
      <c r="C42" t="s">
        <v>141</v>
      </c>
      <c r="D42" t="s">
        <v>134</v>
      </c>
      <c r="E42" s="39" t="s">
        <v>135</v>
      </c>
      <c r="F42" s="5" t="s">
        <v>43</v>
      </c>
    </row>
    <row r="43" spans="1:6" x14ac:dyDescent="0.25">
      <c r="A43" s="11" t="s">
        <v>160</v>
      </c>
      <c r="B43" t="s">
        <v>161</v>
      </c>
      <c r="C43" t="s">
        <v>144</v>
      </c>
      <c r="D43" t="s">
        <v>134</v>
      </c>
      <c r="E43" s="39" t="s">
        <v>135</v>
      </c>
      <c r="F43" s="5" t="s">
        <v>43</v>
      </c>
    </row>
    <row r="44" spans="1:6" x14ac:dyDescent="0.25">
      <c r="A44" s="11" t="s">
        <v>162</v>
      </c>
      <c r="B44" t="s">
        <v>163</v>
      </c>
      <c r="C44" t="s">
        <v>147</v>
      </c>
      <c r="D44" t="s">
        <v>134</v>
      </c>
      <c r="E44" s="39" t="s">
        <v>135</v>
      </c>
      <c r="F44" s="5" t="s">
        <v>43</v>
      </c>
    </row>
    <row r="45" spans="1:6" x14ac:dyDescent="0.25">
      <c r="A45" s="11" t="s">
        <v>164</v>
      </c>
      <c r="B45" t="s">
        <v>165</v>
      </c>
      <c r="C45" t="s">
        <v>150</v>
      </c>
      <c r="D45" t="s">
        <v>134</v>
      </c>
      <c r="E45" s="39" t="s">
        <v>135</v>
      </c>
      <c r="F45" s="5" t="s">
        <v>43</v>
      </c>
    </row>
    <row r="46" spans="1:6" x14ac:dyDescent="0.25">
      <c r="A46" s="11" t="s">
        <v>166</v>
      </c>
      <c r="B46" t="s">
        <v>167</v>
      </c>
      <c r="C46" t="s">
        <v>153</v>
      </c>
      <c r="D46" t="s">
        <v>134</v>
      </c>
      <c r="E46" s="39" t="s">
        <v>135</v>
      </c>
      <c r="F46" s="5" t="s">
        <v>43</v>
      </c>
    </row>
    <row r="47" spans="1:6" x14ac:dyDescent="0.25">
      <c r="A47" s="11" t="s">
        <v>168</v>
      </c>
      <c r="B47" t="s">
        <v>169</v>
      </c>
      <c r="C47" t="s">
        <v>133</v>
      </c>
      <c r="D47" t="s">
        <v>134</v>
      </c>
      <c r="E47" s="39" t="s">
        <v>135</v>
      </c>
      <c r="F47" s="3" t="s">
        <v>25</v>
      </c>
    </row>
    <row r="48" spans="1:6" x14ac:dyDescent="0.25">
      <c r="A48" s="11" t="s">
        <v>170</v>
      </c>
      <c r="B48" t="s">
        <v>171</v>
      </c>
      <c r="C48" t="s">
        <v>138</v>
      </c>
      <c r="D48" t="s">
        <v>134</v>
      </c>
      <c r="E48" s="39" t="s">
        <v>135</v>
      </c>
      <c r="F48" s="3" t="s">
        <v>25</v>
      </c>
    </row>
    <row r="49" spans="1:6" x14ac:dyDescent="0.25">
      <c r="A49" s="11" t="s">
        <v>172</v>
      </c>
      <c r="B49" t="s">
        <v>173</v>
      </c>
      <c r="C49" t="s">
        <v>141</v>
      </c>
      <c r="D49" t="s">
        <v>134</v>
      </c>
      <c r="E49" s="39" t="s">
        <v>135</v>
      </c>
      <c r="F49" s="3" t="s">
        <v>25</v>
      </c>
    </row>
    <row r="50" spans="1:6" x14ac:dyDescent="0.25">
      <c r="A50" s="11" t="s">
        <v>174</v>
      </c>
      <c r="B50" t="s">
        <v>175</v>
      </c>
      <c r="C50" t="s">
        <v>144</v>
      </c>
      <c r="D50" t="s">
        <v>134</v>
      </c>
      <c r="E50" s="39" t="s">
        <v>135</v>
      </c>
      <c r="F50" s="3" t="s">
        <v>25</v>
      </c>
    </row>
    <row r="51" spans="1:6" x14ac:dyDescent="0.25">
      <c r="A51" s="11" t="s">
        <v>176</v>
      </c>
      <c r="B51" t="s">
        <v>177</v>
      </c>
      <c r="C51" t="s">
        <v>147</v>
      </c>
      <c r="D51" t="s">
        <v>134</v>
      </c>
      <c r="E51" s="39" t="s">
        <v>135</v>
      </c>
      <c r="F51" s="3" t="s">
        <v>25</v>
      </c>
    </row>
    <row r="52" spans="1:6" x14ac:dyDescent="0.25">
      <c r="A52" s="11" t="s">
        <v>178</v>
      </c>
      <c r="B52" t="s">
        <v>179</v>
      </c>
      <c r="C52" t="s">
        <v>150</v>
      </c>
      <c r="D52" t="s">
        <v>134</v>
      </c>
      <c r="E52" s="39" t="s">
        <v>135</v>
      </c>
      <c r="F52" s="3" t="s">
        <v>25</v>
      </c>
    </row>
    <row r="53" spans="1:6" x14ac:dyDescent="0.25">
      <c r="A53" s="11" t="s">
        <v>180</v>
      </c>
      <c r="B53" t="s">
        <v>181</v>
      </c>
      <c r="C53" t="s">
        <v>153</v>
      </c>
      <c r="D53" t="s">
        <v>134</v>
      </c>
      <c r="E53" s="39" t="s">
        <v>135</v>
      </c>
      <c r="F53" s="3" t="s">
        <v>25</v>
      </c>
    </row>
    <row r="54" spans="1:6" x14ac:dyDescent="0.25">
      <c r="A54" s="11" t="s">
        <v>182</v>
      </c>
      <c r="B54" t="s">
        <v>183</v>
      </c>
      <c r="C54" t="s">
        <v>133</v>
      </c>
      <c r="D54" t="s">
        <v>134</v>
      </c>
      <c r="E54" s="39" t="s">
        <v>135</v>
      </c>
      <c r="F54" s="6" t="s">
        <v>48</v>
      </c>
    </row>
    <row r="55" spans="1:6" x14ac:dyDescent="0.25">
      <c r="A55" s="11" t="s">
        <v>184</v>
      </c>
      <c r="B55" t="s">
        <v>185</v>
      </c>
      <c r="C55" t="s">
        <v>138</v>
      </c>
      <c r="D55" t="s">
        <v>134</v>
      </c>
      <c r="E55" s="39" t="s">
        <v>135</v>
      </c>
      <c r="F55" s="6" t="s">
        <v>48</v>
      </c>
    </row>
    <row r="56" spans="1:6" x14ac:dyDescent="0.25">
      <c r="A56" s="11" t="s">
        <v>186</v>
      </c>
      <c r="B56" t="s">
        <v>187</v>
      </c>
      <c r="C56" t="s">
        <v>141</v>
      </c>
      <c r="D56" t="s">
        <v>134</v>
      </c>
      <c r="E56" s="39" t="s">
        <v>135</v>
      </c>
      <c r="F56" s="6" t="s">
        <v>48</v>
      </c>
    </row>
    <row r="57" spans="1:6" x14ac:dyDescent="0.25">
      <c r="A57" s="11" t="s">
        <v>188</v>
      </c>
      <c r="B57" t="s">
        <v>189</v>
      </c>
      <c r="C57" t="s">
        <v>144</v>
      </c>
      <c r="D57" t="s">
        <v>134</v>
      </c>
      <c r="E57" s="39" t="s">
        <v>135</v>
      </c>
      <c r="F57" s="6" t="s">
        <v>48</v>
      </c>
    </row>
    <row r="58" spans="1:6" x14ac:dyDescent="0.25">
      <c r="A58" s="11" t="s">
        <v>190</v>
      </c>
      <c r="B58" t="s">
        <v>191</v>
      </c>
      <c r="C58" t="s">
        <v>147</v>
      </c>
      <c r="D58" t="s">
        <v>134</v>
      </c>
      <c r="E58" s="39" t="s">
        <v>135</v>
      </c>
      <c r="F58" s="6" t="s">
        <v>48</v>
      </c>
    </row>
    <row r="59" spans="1:6" x14ac:dyDescent="0.25">
      <c r="A59" s="11" t="s">
        <v>192</v>
      </c>
      <c r="B59" t="s">
        <v>193</v>
      </c>
      <c r="C59" t="s">
        <v>150</v>
      </c>
      <c r="D59" t="s">
        <v>134</v>
      </c>
      <c r="E59" s="39" t="s">
        <v>135</v>
      </c>
      <c r="F59" s="6" t="s">
        <v>48</v>
      </c>
    </row>
    <row r="60" spans="1:6" x14ac:dyDescent="0.25">
      <c r="A60" s="11" t="s">
        <v>194</v>
      </c>
      <c r="B60" t="s">
        <v>195</v>
      </c>
      <c r="C60" t="s">
        <v>153</v>
      </c>
      <c r="D60" t="s">
        <v>134</v>
      </c>
      <c r="E60" s="39" t="s">
        <v>135</v>
      </c>
      <c r="F60" s="6" t="s">
        <v>48</v>
      </c>
    </row>
    <row r="61" spans="1:6" x14ac:dyDescent="0.25">
      <c r="A61" s="13" t="s">
        <v>196</v>
      </c>
      <c r="B61" t="s">
        <v>197</v>
      </c>
      <c r="C61" t="s">
        <v>198</v>
      </c>
      <c r="D61" t="s">
        <v>199</v>
      </c>
      <c r="E61" s="39" t="s">
        <v>200</v>
      </c>
      <c r="F61" s="6" t="s">
        <v>48</v>
      </c>
    </row>
    <row r="62" spans="1:6" x14ac:dyDescent="0.25">
      <c r="A62" s="13" t="s">
        <v>201</v>
      </c>
      <c r="B62" t="s">
        <v>202</v>
      </c>
      <c r="C62" t="s">
        <v>198</v>
      </c>
      <c r="D62" t="s">
        <v>199</v>
      </c>
      <c r="E62" s="39" t="s">
        <v>200</v>
      </c>
      <c r="F62" s="3" t="s">
        <v>25</v>
      </c>
    </row>
    <row r="63" spans="1:6" x14ac:dyDescent="0.25">
      <c r="A63" s="13" t="s">
        <v>203</v>
      </c>
      <c r="B63" t="s">
        <v>204</v>
      </c>
      <c r="C63" t="s">
        <v>198</v>
      </c>
      <c r="D63" t="s">
        <v>199</v>
      </c>
      <c r="E63" s="39" t="s">
        <v>200</v>
      </c>
      <c r="F63" s="5" t="s">
        <v>43</v>
      </c>
    </row>
    <row r="64" spans="1:6" x14ac:dyDescent="0.25">
      <c r="A64" s="13" t="s">
        <v>205</v>
      </c>
      <c r="B64" t="s">
        <v>206</v>
      </c>
      <c r="C64" t="s">
        <v>198</v>
      </c>
      <c r="D64" t="s">
        <v>199</v>
      </c>
      <c r="E64" s="39" t="s">
        <v>200</v>
      </c>
      <c r="F64" s="2" t="s">
        <v>12</v>
      </c>
    </row>
    <row r="65" spans="1:6" x14ac:dyDescent="0.25">
      <c r="A65" s="10" t="s">
        <v>207</v>
      </c>
      <c r="B65" t="s">
        <v>208</v>
      </c>
      <c r="C65" t="s">
        <v>209</v>
      </c>
      <c r="E65" s="39" t="s">
        <v>210</v>
      </c>
      <c r="F65" s="2" t="s">
        <v>12</v>
      </c>
    </row>
    <row r="66" spans="1:6" x14ac:dyDescent="0.25">
      <c r="A66" s="10" t="s">
        <v>211</v>
      </c>
      <c r="B66" t="s">
        <v>212</v>
      </c>
      <c r="C66" t="s">
        <v>209</v>
      </c>
      <c r="E66" s="39" t="s">
        <v>210</v>
      </c>
      <c r="F66" s="9" t="s">
        <v>48</v>
      </c>
    </row>
    <row r="67" spans="1:6" x14ac:dyDescent="0.25">
      <c r="A67" s="10" t="s">
        <v>213</v>
      </c>
      <c r="B67" t="s">
        <v>214</v>
      </c>
      <c r="C67" t="s">
        <v>209</v>
      </c>
      <c r="E67" s="39" t="s">
        <v>210</v>
      </c>
      <c r="F67" s="14" t="s">
        <v>43</v>
      </c>
    </row>
    <row r="68" spans="1:6" x14ac:dyDescent="0.25">
      <c r="A68" s="10" t="s">
        <v>215</v>
      </c>
      <c r="B68" t="s">
        <v>216</v>
      </c>
      <c r="C68" t="s">
        <v>209</v>
      </c>
      <c r="E68" s="39" t="s">
        <v>210</v>
      </c>
      <c r="F68" s="3" t="s">
        <v>25</v>
      </c>
    </row>
    <row r="69" spans="1:6" x14ac:dyDescent="0.25">
      <c r="A69" s="10" t="s">
        <v>217</v>
      </c>
      <c r="B69" t="s">
        <v>218</v>
      </c>
      <c r="C69" t="s">
        <v>209</v>
      </c>
      <c r="E69" s="39" t="s">
        <v>210</v>
      </c>
      <c r="F69" s="3" t="s">
        <v>25</v>
      </c>
    </row>
    <row r="70" spans="1:6" x14ac:dyDescent="0.25">
      <c r="A70" s="10" t="s">
        <v>219</v>
      </c>
      <c r="B70" t="s">
        <v>220</v>
      </c>
      <c r="C70" t="s">
        <v>209</v>
      </c>
      <c r="E70" s="39" t="s">
        <v>210</v>
      </c>
      <c r="F70" s="2" t="s">
        <v>12</v>
      </c>
    </row>
    <row r="71" spans="1:6" x14ac:dyDescent="0.25">
      <c r="A71" s="10" t="s">
        <v>221</v>
      </c>
      <c r="B71" t="s">
        <v>222</v>
      </c>
      <c r="C71" t="s">
        <v>209</v>
      </c>
      <c r="E71" s="39" t="s">
        <v>210</v>
      </c>
      <c r="F71" s="12" t="s">
        <v>38</v>
      </c>
    </row>
    <row r="72" spans="1:6" x14ac:dyDescent="0.25">
      <c r="A72" s="10" t="s">
        <v>223</v>
      </c>
      <c r="B72" t="s">
        <v>224</v>
      </c>
      <c r="C72" t="s">
        <v>209</v>
      </c>
      <c r="E72" s="39" t="s">
        <v>210</v>
      </c>
      <c r="F72" s="2" t="s">
        <v>12</v>
      </c>
    </row>
    <row r="73" spans="1:6" x14ac:dyDescent="0.25">
      <c r="A73" s="10" t="s">
        <v>225</v>
      </c>
      <c r="B73" t="s">
        <v>226</v>
      </c>
      <c r="C73" t="s">
        <v>209</v>
      </c>
      <c r="E73" s="39" t="s">
        <v>210</v>
      </c>
      <c r="F73" s="2" t="s">
        <v>12</v>
      </c>
    </row>
    <row r="74" spans="1:6" ht="15.75" customHeight="1" x14ac:dyDescent="0.25">
      <c r="A74" s="10" t="s">
        <v>227</v>
      </c>
      <c r="B74" t="s">
        <v>228</v>
      </c>
      <c r="C74" t="s">
        <v>209</v>
      </c>
      <c r="E74" s="39" t="s">
        <v>210</v>
      </c>
      <c r="F74" s="2" t="s">
        <v>12</v>
      </c>
    </row>
    <row r="75" spans="1:6" x14ac:dyDescent="0.25">
      <c r="A75" s="22" t="s">
        <v>229</v>
      </c>
      <c r="B75" t="s">
        <v>230</v>
      </c>
      <c r="C75" t="s">
        <v>209</v>
      </c>
      <c r="E75" s="39" t="s">
        <v>210</v>
      </c>
      <c r="F75" s="12" t="s">
        <v>38</v>
      </c>
    </row>
    <row r="76" spans="1:6" x14ac:dyDescent="0.25">
      <c r="A76" s="22" t="s">
        <v>231</v>
      </c>
      <c r="B76" t="s">
        <v>232</v>
      </c>
      <c r="C76" t="s">
        <v>209</v>
      </c>
      <c r="E76" s="39" t="s">
        <v>210</v>
      </c>
      <c r="F76" s="2" t="s">
        <v>12</v>
      </c>
    </row>
    <row r="77" spans="1:6" x14ac:dyDescent="0.25">
      <c r="A77" s="22" t="s">
        <v>233</v>
      </c>
      <c r="B77" t="s">
        <v>234</v>
      </c>
      <c r="C77" t="s">
        <v>209</v>
      </c>
      <c r="E77" s="39" t="s">
        <v>210</v>
      </c>
      <c r="F77" s="14" t="s">
        <v>43</v>
      </c>
    </row>
    <row r="78" spans="1:6" x14ac:dyDescent="0.25">
      <c r="A78" s="22" t="s">
        <v>235</v>
      </c>
      <c r="B78" t="s">
        <v>236</v>
      </c>
      <c r="C78" t="s">
        <v>209</v>
      </c>
      <c r="E78" s="39" t="s">
        <v>210</v>
      </c>
      <c r="F78" s="14" t="s">
        <v>43</v>
      </c>
    </row>
    <row r="79" spans="1:6" x14ac:dyDescent="0.25">
      <c r="A79" s="22" t="s">
        <v>237</v>
      </c>
      <c r="B79" t="s">
        <v>238</v>
      </c>
      <c r="C79" t="s">
        <v>209</v>
      </c>
      <c r="E79" s="39" t="s">
        <v>210</v>
      </c>
      <c r="F79" s="2" t="s">
        <v>12</v>
      </c>
    </row>
    <row r="80" spans="1:6" x14ac:dyDescent="0.25">
      <c r="A80" s="22" t="s">
        <v>239</v>
      </c>
      <c r="B80" t="s">
        <v>240</v>
      </c>
      <c r="C80" t="s">
        <v>209</v>
      </c>
      <c r="E80" s="39" t="s">
        <v>210</v>
      </c>
      <c r="F80" s="14" t="s">
        <v>43</v>
      </c>
    </row>
    <row r="81" spans="1:6" x14ac:dyDescent="0.25">
      <c r="A81" s="15" t="s">
        <v>241</v>
      </c>
      <c r="B81" t="s">
        <v>242</v>
      </c>
      <c r="E81" s="39" t="s">
        <v>243</v>
      </c>
      <c r="F81" s="2" t="s">
        <v>12</v>
      </c>
    </row>
    <row r="82" spans="1:6" x14ac:dyDescent="0.25">
      <c r="A82" s="15" t="s">
        <v>244</v>
      </c>
      <c r="B82" t="s">
        <v>245</v>
      </c>
      <c r="E82" s="39" t="s">
        <v>243</v>
      </c>
      <c r="F82" s="3" t="s">
        <v>25</v>
      </c>
    </row>
    <row r="83" spans="1:6" x14ac:dyDescent="0.25">
      <c r="A83" s="15" t="s">
        <v>246</v>
      </c>
      <c r="B83" t="s">
        <v>247</v>
      </c>
      <c r="E83" s="39" t="s">
        <v>243</v>
      </c>
      <c r="F83" s="6" t="s">
        <v>48</v>
      </c>
    </row>
    <row r="84" spans="1:6" x14ac:dyDescent="0.25">
      <c r="A84" s="15" t="s">
        <v>248</v>
      </c>
      <c r="B84" t="s">
        <v>249</v>
      </c>
      <c r="E84" s="39" t="s">
        <v>243</v>
      </c>
      <c r="F84" s="14" t="s">
        <v>43</v>
      </c>
    </row>
    <row r="85" spans="1:6" x14ac:dyDescent="0.25">
      <c r="A85" s="15" t="s">
        <v>250</v>
      </c>
      <c r="B85" t="s">
        <v>251</v>
      </c>
      <c r="E85" s="39" t="s">
        <v>243</v>
      </c>
      <c r="F85" s="12" t="s">
        <v>38</v>
      </c>
    </row>
    <row r="86" spans="1:6" x14ac:dyDescent="0.25">
      <c r="A86" s="15" t="s">
        <v>252</v>
      </c>
      <c r="B86" t="s">
        <v>253</v>
      </c>
      <c r="E86" s="39" t="s">
        <v>243</v>
      </c>
      <c r="F86" s="14" t="s">
        <v>43</v>
      </c>
    </row>
    <row r="87" spans="1:6" x14ac:dyDescent="0.25">
      <c r="A87" s="15" t="s">
        <v>254</v>
      </c>
      <c r="B87" t="s">
        <v>242</v>
      </c>
      <c r="E87" s="39" t="s">
        <v>243</v>
      </c>
      <c r="F87" s="2" t="s">
        <v>12</v>
      </c>
    </row>
    <row r="88" spans="1:6" x14ac:dyDescent="0.25">
      <c r="A88" s="15" t="s">
        <v>255</v>
      </c>
      <c r="B88" t="s">
        <v>245</v>
      </c>
      <c r="E88" s="39" t="s">
        <v>243</v>
      </c>
      <c r="F88" s="3" t="s">
        <v>25</v>
      </c>
    </row>
    <row r="89" spans="1:6" x14ac:dyDescent="0.25">
      <c r="A89" s="15" t="s">
        <v>256</v>
      </c>
      <c r="B89" t="s">
        <v>247</v>
      </c>
      <c r="E89" s="39" t="s">
        <v>243</v>
      </c>
      <c r="F89" s="6" t="s">
        <v>48</v>
      </c>
    </row>
    <row r="90" spans="1:6" x14ac:dyDescent="0.25">
      <c r="A90" s="15" t="s">
        <v>257</v>
      </c>
      <c r="B90" t="s">
        <v>249</v>
      </c>
      <c r="E90" s="39" t="s">
        <v>243</v>
      </c>
      <c r="F90" s="14" t="s">
        <v>43</v>
      </c>
    </row>
    <row r="91" spans="1:6" x14ac:dyDescent="0.25">
      <c r="A91" s="15" t="s">
        <v>258</v>
      </c>
      <c r="B91" t="s">
        <v>251</v>
      </c>
      <c r="E91" s="39" t="s">
        <v>243</v>
      </c>
      <c r="F91" s="12" t="s">
        <v>38</v>
      </c>
    </row>
    <row r="92" spans="1:6" x14ac:dyDescent="0.25">
      <c r="A92" s="15" t="s">
        <v>259</v>
      </c>
      <c r="B92" t="s">
        <v>253</v>
      </c>
      <c r="E92" s="39" t="s">
        <v>243</v>
      </c>
      <c r="F92" s="14" t="s">
        <v>43</v>
      </c>
    </row>
    <row r="93" spans="1:6" x14ac:dyDescent="0.25">
      <c r="A93" s="15" t="s">
        <v>260</v>
      </c>
      <c r="B93" t="s">
        <v>242</v>
      </c>
      <c r="E93" s="39" t="s">
        <v>243</v>
      </c>
      <c r="F93" s="2" t="s">
        <v>12</v>
      </c>
    </row>
    <row r="94" spans="1:6" x14ac:dyDescent="0.25">
      <c r="A94" s="15" t="s">
        <v>261</v>
      </c>
      <c r="B94" t="s">
        <v>245</v>
      </c>
      <c r="E94" s="39" t="s">
        <v>243</v>
      </c>
      <c r="F94" s="3" t="s">
        <v>25</v>
      </c>
    </row>
    <row r="95" spans="1:6" x14ac:dyDescent="0.25">
      <c r="A95" s="15" t="s">
        <v>262</v>
      </c>
      <c r="B95" t="s">
        <v>247</v>
      </c>
      <c r="E95" s="39" t="s">
        <v>243</v>
      </c>
      <c r="F95" s="6" t="s">
        <v>48</v>
      </c>
    </row>
    <row r="96" spans="1:6" x14ac:dyDescent="0.25">
      <c r="A96" s="15" t="s">
        <v>263</v>
      </c>
      <c r="B96" t="s">
        <v>249</v>
      </c>
      <c r="E96" s="39" t="s">
        <v>243</v>
      </c>
      <c r="F96" s="14" t="s">
        <v>43</v>
      </c>
    </row>
    <row r="97" spans="1:6" x14ac:dyDescent="0.25">
      <c r="A97" s="15" t="s">
        <v>264</v>
      </c>
      <c r="B97" t="s">
        <v>251</v>
      </c>
      <c r="E97" s="39" t="s">
        <v>243</v>
      </c>
      <c r="F97" s="12" t="s">
        <v>38</v>
      </c>
    </row>
    <row r="98" spans="1:6" x14ac:dyDescent="0.25">
      <c r="A98" s="15" t="s">
        <v>265</v>
      </c>
      <c r="B98" t="s">
        <v>253</v>
      </c>
      <c r="E98" s="39" t="s">
        <v>243</v>
      </c>
      <c r="F98" s="14" t="s">
        <v>43</v>
      </c>
    </row>
    <row r="99" spans="1:6" x14ac:dyDescent="0.25">
      <c r="A99" s="15" t="s">
        <v>266</v>
      </c>
      <c r="B99" t="s">
        <v>242</v>
      </c>
      <c r="E99" s="39" t="s">
        <v>243</v>
      </c>
      <c r="F99" s="2" t="s">
        <v>12</v>
      </c>
    </row>
    <row r="100" spans="1:6" x14ac:dyDescent="0.25">
      <c r="A100" s="15" t="s">
        <v>267</v>
      </c>
      <c r="B100" t="s">
        <v>245</v>
      </c>
      <c r="E100" s="39" t="s">
        <v>243</v>
      </c>
      <c r="F100" s="3" t="s">
        <v>25</v>
      </c>
    </row>
    <row r="101" spans="1:6" x14ac:dyDescent="0.25">
      <c r="A101" s="15" t="s">
        <v>268</v>
      </c>
      <c r="B101" t="s">
        <v>247</v>
      </c>
      <c r="E101" s="39" t="s">
        <v>243</v>
      </c>
      <c r="F101" s="6" t="s">
        <v>48</v>
      </c>
    </row>
    <row r="102" spans="1:6" x14ac:dyDescent="0.25">
      <c r="A102" s="15" t="s">
        <v>269</v>
      </c>
      <c r="B102" t="s">
        <v>249</v>
      </c>
      <c r="E102" s="39" t="s">
        <v>243</v>
      </c>
      <c r="F102" s="14" t="s">
        <v>43</v>
      </c>
    </row>
    <row r="103" spans="1:6" x14ac:dyDescent="0.25">
      <c r="A103" s="15" t="s">
        <v>270</v>
      </c>
      <c r="B103" t="s">
        <v>251</v>
      </c>
      <c r="E103" s="39" t="s">
        <v>243</v>
      </c>
      <c r="F103" s="12" t="s">
        <v>38</v>
      </c>
    </row>
    <row r="104" spans="1:6" x14ac:dyDescent="0.25">
      <c r="A104" s="15" t="s">
        <v>271</v>
      </c>
      <c r="B104" t="s">
        <v>253</v>
      </c>
      <c r="E104" s="39" t="s">
        <v>243</v>
      </c>
      <c r="F104" s="14" t="s">
        <v>43</v>
      </c>
    </row>
    <row r="105" spans="1:6" x14ac:dyDescent="0.25">
      <c r="A105" s="15" t="s">
        <v>272</v>
      </c>
      <c r="B105" t="s">
        <v>242</v>
      </c>
      <c r="E105" s="39" t="s">
        <v>243</v>
      </c>
      <c r="F105" s="2" t="s">
        <v>12</v>
      </c>
    </row>
    <row r="106" spans="1:6" x14ac:dyDescent="0.25">
      <c r="A106" s="15" t="s">
        <v>273</v>
      </c>
      <c r="B106" t="s">
        <v>245</v>
      </c>
      <c r="E106" s="39" t="s">
        <v>243</v>
      </c>
      <c r="F106" s="3" t="s">
        <v>25</v>
      </c>
    </row>
    <row r="107" spans="1:6" x14ac:dyDescent="0.25">
      <c r="A107" s="15" t="s">
        <v>274</v>
      </c>
      <c r="B107" t="s">
        <v>247</v>
      </c>
      <c r="E107" s="39" t="s">
        <v>243</v>
      </c>
      <c r="F107" s="6" t="s">
        <v>48</v>
      </c>
    </row>
    <row r="108" spans="1:6" x14ac:dyDescent="0.25">
      <c r="A108" s="15" t="s">
        <v>275</v>
      </c>
      <c r="B108" t="s">
        <v>249</v>
      </c>
      <c r="E108" s="39" t="s">
        <v>243</v>
      </c>
      <c r="F108" s="14" t="s">
        <v>43</v>
      </c>
    </row>
    <row r="109" spans="1:6" x14ac:dyDescent="0.25">
      <c r="A109" s="15" t="s">
        <v>276</v>
      </c>
      <c r="B109" t="s">
        <v>251</v>
      </c>
      <c r="E109" s="39" t="s">
        <v>243</v>
      </c>
      <c r="F109" s="12" t="s">
        <v>38</v>
      </c>
    </row>
    <row r="110" spans="1:6" x14ac:dyDescent="0.25">
      <c r="A110" s="15" t="s">
        <v>277</v>
      </c>
      <c r="B110" t="s">
        <v>253</v>
      </c>
      <c r="E110" s="39" t="s">
        <v>243</v>
      </c>
      <c r="F110" s="14" t="s">
        <v>43</v>
      </c>
    </row>
    <row r="111" spans="1:6" x14ac:dyDescent="0.25">
      <c r="A111" s="15" t="s">
        <v>278</v>
      </c>
      <c r="B111" t="s">
        <v>242</v>
      </c>
      <c r="E111" s="39" t="s">
        <v>243</v>
      </c>
      <c r="F111" s="2" t="s">
        <v>12</v>
      </c>
    </row>
    <row r="112" spans="1:6" x14ac:dyDescent="0.25">
      <c r="A112" s="15" t="s">
        <v>279</v>
      </c>
      <c r="B112" t="s">
        <v>245</v>
      </c>
      <c r="E112" s="39" t="s">
        <v>243</v>
      </c>
      <c r="F112" s="3" t="s">
        <v>25</v>
      </c>
    </row>
    <row r="113" spans="1:6" x14ac:dyDescent="0.25">
      <c r="A113" s="15" t="s">
        <v>280</v>
      </c>
      <c r="B113" t="s">
        <v>247</v>
      </c>
      <c r="E113" s="39" t="s">
        <v>243</v>
      </c>
      <c r="F113" s="6" t="s">
        <v>48</v>
      </c>
    </row>
    <row r="114" spans="1:6" x14ac:dyDescent="0.25">
      <c r="A114" s="15" t="s">
        <v>281</v>
      </c>
      <c r="B114" t="s">
        <v>249</v>
      </c>
      <c r="E114" s="39" t="s">
        <v>243</v>
      </c>
      <c r="F114" s="14" t="s">
        <v>43</v>
      </c>
    </row>
    <row r="115" spans="1:6" x14ac:dyDescent="0.25">
      <c r="A115" s="15" t="s">
        <v>282</v>
      </c>
      <c r="B115" t="s">
        <v>251</v>
      </c>
      <c r="E115" s="39" t="s">
        <v>243</v>
      </c>
      <c r="F115" s="12" t="s">
        <v>38</v>
      </c>
    </row>
    <row r="116" spans="1:6" x14ac:dyDescent="0.25">
      <c r="A116" s="15" t="s">
        <v>283</v>
      </c>
      <c r="B116" t="s">
        <v>253</v>
      </c>
      <c r="E116" s="39" t="s">
        <v>243</v>
      </c>
      <c r="F116" s="14" t="s">
        <v>43</v>
      </c>
    </row>
    <row r="117" spans="1:6" x14ac:dyDescent="0.25">
      <c r="A117" s="9" t="s">
        <v>284</v>
      </c>
      <c r="E117" s="39" t="s">
        <v>285</v>
      </c>
      <c r="F117" s="12" t="s">
        <v>38</v>
      </c>
    </row>
    <row r="118" spans="1:6" x14ac:dyDescent="0.25">
      <c r="A118" s="9" t="s">
        <v>286</v>
      </c>
      <c r="E118" s="39" t="s">
        <v>285</v>
      </c>
      <c r="F118" s="12" t="s">
        <v>38</v>
      </c>
    </row>
    <row r="119" spans="1:6" x14ac:dyDescent="0.25">
      <c r="A119" s="9" t="s">
        <v>287</v>
      </c>
      <c r="E119" s="39" t="s">
        <v>285</v>
      </c>
      <c r="F119" s="12" t="s">
        <v>38</v>
      </c>
    </row>
    <row r="120" spans="1:6" x14ac:dyDescent="0.25">
      <c r="A120" s="9" t="s">
        <v>288</v>
      </c>
      <c r="E120" s="39" t="s">
        <v>285</v>
      </c>
      <c r="F120" s="12" t="s">
        <v>38</v>
      </c>
    </row>
    <row r="121" spans="1:6" x14ac:dyDescent="0.25">
      <c r="A121" s="9" t="s">
        <v>289</v>
      </c>
      <c r="E121" s="39" t="s">
        <v>285</v>
      </c>
      <c r="F121" s="12" t="s">
        <v>38</v>
      </c>
    </row>
    <row r="122" spans="1:6" x14ac:dyDescent="0.25">
      <c r="A122" s="9" t="s">
        <v>290</v>
      </c>
      <c r="E122" s="39" t="s">
        <v>285</v>
      </c>
      <c r="F122" s="12" t="s">
        <v>38</v>
      </c>
    </row>
    <row r="123" spans="1:6" x14ac:dyDescent="0.25">
      <c r="A123" s="9" t="s">
        <v>291</v>
      </c>
      <c r="E123" s="39" t="s">
        <v>285</v>
      </c>
      <c r="F123" s="12" t="s">
        <v>38</v>
      </c>
    </row>
    <row r="124" spans="1:6" x14ac:dyDescent="0.25">
      <c r="A124" s="9" t="s">
        <v>292</v>
      </c>
      <c r="E124" s="39" t="s">
        <v>285</v>
      </c>
      <c r="F124" s="12" t="s">
        <v>38</v>
      </c>
    </row>
    <row r="125" spans="1:6" x14ac:dyDescent="0.25">
      <c r="A125" s="9" t="s">
        <v>293</v>
      </c>
      <c r="E125" s="39" t="s">
        <v>285</v>
      </c>
      <c r="F125" s="12" t="s">
        <v>38</v>
      </c>
    </row>
    <row r="126" spans="1:6" x14ac:dyDescent="0.25">
      <c r="A126" s="9" t="s">
        <v>294</v>
      </c>
      <c r="B126" t="s">
        <v>295</v>
      </c>
      <c r="C126" t="s">
        <v>296</v>
      </c>
      <c r="D126" t="s">
        <v>297</v>
      </c>
      <c r="E126" s="39" t="s">
        <v>298</v>
      </c>
      <c r="F126" s="4" t="s">
        <v>38</v>
      </c>
    </row>
  </sheetData>
  <autoFilter ref="A1:A1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29" sqref="B29"/>
    </sheetView>
  </sheetViews>
  <sheetFormatPr defaultRowHeight="15" x14ac:dyDescent="0.25"/>
  <cols>
    <col min="1" max="1" width="22.28515625" style="38" bestFit="1" customWidth="1"/>
    <col min="2" max="2" width="14" style="38" bestFit="1" customWidth="1"/>
    <col min="3" max="3" width="7.5703125" style="40" bestFit="1" customWidth="1"/>
    <col min="4" max="4" width="14.42578125" style="38" bestFit="1" customWidth="1"/>
  </cols>
  <sheetData>
    <row r="1" spans="1:6" x14ac:dyDescent="0.25">
      <c r="A1" s="1" t="s">
        <v>0</v>
      </c>
      <c r="B1" s="1" t="s">
        <v>303</v>
      </c>
      <c r="C1" s="37" t="s">
        <v>304</v>
      </c>
      <c r="D1" t="s">
        <v>305</v>
      </c>
      <c r="E1" t="s">
        <v>306</v>
      </c>
      <c r="F1" t="s">
        <v>307</v>
      </c>
    </row>
    <row r="2" spans="1:6" x14ac:dyDescent="0.25">
      <c r="A2" s="13" t="s">
        <v>196</v>
      </c>
      <c r="B2" s="39">
        <v>100</v>
      </c>
    </row>
    <row r="3" spans="1:6" x14ac:dyDescent="0.25">
      <c r="A3" s="13" t="s">
        <v>201</v>
      </c>
      <c r="B3" s="39">
        <v>400</v>
      </c>
    </row>
    <row r="4" spans="1:6" x14ac:dyDescent="0.25">
      <c r="A4" s="13" t="s">
        <v>203</v>
      </c>
      <c r="B4" s="39">
        <v>1600</v>
      </c>
    </row>
    <row r="5" spans="1:6" x14ac:dyDescent="0.25">
      <c r="A5" s="13" t="s">
        <v>205</v>
      </c>
      <c r="B5" s="39">
        <v>6400</v>
      </c>
    </row>
    <row r="6" spans="1:6" x14ac:dyDescent="0.25">
      <c r="A6" t="s">
        <v>90</v>
      </c>
      <c r="B6" t="s">
        <v>308</v>
      </c>
      <c r="C6" s="40">
        <v>15</v>
      </c>
      <c r="D6" s="39" t="s">
        <v>309</v>
      </c>
      <c r="E6" t="s">
        <v>310</v>
      </c>
      <c r="F6">
        <v>10</v>
      </c>
    </row>
    <row r="7" spans="1:6" x14ac:dyDescent="0.25">
      <c r="A7" t="s">
        <v>98</v>
      </c>
      <c r="B7" t="s">
        <v>308</v>
      </c>
      <c r="C7" s="40">
        <v>30</v>
      </c>
      <c r="D7" s="39" t="s">
        <v>311</v>
      </c>
      <c r="E7" t="s">
        <v>310</v>
      </c>
      <c r="F7">
        <v>10</v>
      </c>
    </row>
    <row r="8" spans="1:6" x14ac:dyDescent="0.25">
      <c r="A8" t="s">
        <v>74</v>
      </c>
      <c r="B8" t="s">
        <v>308</v>
      </c>
      <c r="C8" s="40">
        <v>200</v>
      </c>
      <c r="D8" s="39" t="s">
        <v>312</v>
      </c>
      <c r="E8" t="s">
        <v>310</v>
      </c>
      <c r="F8">
        <v>10</v>
      </c>
    </row>
    <row r="9" spans="1:6" x14ac:dyDescent="0.25">
      <c r="A9" t="s">
        <v>79</v>
      </c>
      <c r="B9" t="s">
        <v>308</v>
      </c>
      <c r="C9" s="40">
        <v>500</v>
      </c>
      <c r="D9" s="39" t="s">
        <v>313</v>
      </c>
      <c r="E9" t="s">
        <v>310</v>
      </c>
      <c r="F9">
        <v>5</v>
      </c>
    </row>
    <row r="10" spans="1:6" x14ac:dyDescent="0.25">
      <c r="A10" t="s">
        <v>86</v>
      </c>
      <c r="B10" t="s">
        <v>308</v>
      </c>
      <c r="C10" s="40">
        <v>100</v>
      </c>
      <c r="D10" s="39" t="s">
        <v>314</v>
      </c>
      <c r="E10" t="s">
        <v>310</v>
      </c>
      <c r="F10">
        <v>5</v>
      </c>
    </row>
    <row r="11" spans="1:6" x14ac:dyDescent="0.25">
      <c r="A11" t="s">
        <v>94</v>
      </c>
      <c r="B11" t="s">
        <v>315</v>
      </c>
      <c r="C11" s="40">
        <v>60</v>
      </c>
    </row>
    <row r="12" spans="1:6" x14ac:dyDescent="0.25">
      <c r="A12" t="s">
        <v>82</v>
      </c>
      <c r="B12" t="s">
        <v>315</v>
      </c>
      <c r="C12" s="40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zoomScale="160" zoomScaleNormal="160" workbookViewId="0">
      <selection activeCell="A18" sqref="A18"/>
    </sheetView>
  </sheetViews>
  <sheetFormatPr defaultRowHeight="15" x14ac:dyDescent="0.25"/>
  <cols>
    <col min="1" max="1" width="21" style="38" bestFit="1" customWidth="1"/>
    <col min="2" max="2" width="11.140625" style="38" bestFit="1" customWidth="1"/>
    <col min="3" max="3" width="8.42578125" style="38" bestFit="1" customWidth="1"/>
    <col min="8" max="8" width="24.7109375" style="38" bestFit="1" customWidth="1"/>
  </cols>
  <sheetData>
    <row r="1" spans="1:8" x14ac:dyDescent="0.25">
      <c r="A1" s="1" t="s">
        <v>0</v>
      </c>
      <c r="B1" s="1" t="s">
        <v>25</v>
      </c>
      <c r="C1" s="1" t="s">
        <v>316</v>
      </c>
      <c r="D1" s="1" t="s">
        <v>313</v>
      </c>
      <c r="E1" s="1" t="s">
        <v>312</v>
      </c>
      <c r="F1" s="1" t="s">
        <v>317</v>
      </c>
      <c r="G1" s="1" t="s">
        <v>318</v>
      </c>
      <c r="H1" s="1" t="s">
        <v>319</v>
      </c>
    </row>
    <row r="2" spans="1:8" x14ac:dyDescent="0.25">
      <c r="A2" t="s">
        <v>7</v>
      </c>
      <c r="B2" s="2" t="s">
        <v>12</v>
      </c>
      <c r="C2" s="40" t="s">
        <v>320</v>
      </c>
      <c r="D2">
        <v>1375</v>
      </c>
      <c r="E2">
        <v>225</v>
      </c>
      <c r="F2">
        <v>138</v>
      </c>
      <c r="G2">
        <v>23</v>
      </c>
      <c r="H2" s="34" t="s">
        <v>321</v>
      </c>
    </row>
    <row r="3" spans="1:8" x14ac:dyDescent="0.25">
      <c r="A3" t="s">
        <v>13</v>
      </c>
      <c r="B3" s="2" t="s">
        <v>12</v>
      </c>
      <c r="C3" s="40" t="s">
        <v>320</v>
      </c>
      <c r="D3">
        <v>1375</v>
      </c>
      <c r="E3">
        <v>225</v>
      </c>
      <c r="F3">
        <v>138</v>
      </c>
      <c r="G3">
        <v>23</v>
      </c>
      <c r="H3" s="34" t="s">
        <v>322</v>
      </c>
    </row>
    <row r="4" spans="1:8" x14ac:dyDescent="0.25">
      <c r="A4" t="s">
        <v>17</v>
      </c>
      <c r="B4" s="2" t="s">
        <v>12</v>
      </c>
      <c r="C4" s="40" t="s">
        <v>323</v>
      </c>
      <c r="D4">
        <v>875</v>
      </c>
      <c r="E4">
        <v>325</v>
      </c>
      <c r="F4">
        <v>88</v>
      </c>
      <c r="G4">
        <v>33</v>
      </c>
      <c r="H4" s="34" t="s">
        <v>324</v>
      </c>
    </row>
    <row r="5" spans="1:8" x14ac:dyDescent="0.25">
      <c r="A5" t="s">
        <v>21</v>
      </c>
      <c r="B5" s="3" t="s">
        <v>25</v>
      </c>
      <c r="C5" s="40" t="s">
        <v>325</v>
      </c>
      <c r="D5">
        <v>495</v>
      </c>
      <c r="E5">
        <v>121</v>
      </c>
      <c r="F5">
        <v>50</v>
      </c>
      <c r="G5">
        <v>12</v>
      </c>
      <c r="H5" s="34" t="s">
        <v>326</v>
      </c>
    </row>
    <row r="6" spans="1:8" x14ac:dyDescent="0.25">
      <c r="A6" t="s">
        <v>26</v>
      </c>
      <c r="B6" s="2" t="s">
        <v>12</v>
      </c>
      <c r="C6" s="40" t="s">
        <v>327</v>
      </c>
      <c r="D6">
        <v>2000</v>
      </c>
      <c r="E6">
        <v>100</v>
      </c>
      <c r="F6">
        <v>200</v>
      </c>
      <c r="G6">
        <v>10</v>
      </c>
      <c r="H6" s="34" t="s">
        <v>328</v>
      </c>
    </row>
    <row r="7" spans="1:8" x14ac:dyDescent="0.25">
      <c r="A7" t="s">
        <v>30</v>
      </c>
      <c r="B7" s="3" t="s">
        <v>25</v>
      </c>
      <c r="C7" s="40" t="s">
        <v>325</v>
      </c>
      <c r="D7">
        <v>495</v>
      </c>
      <c r="E7">
        <v>121</v>
      </c>
      <c r="F7">
        <v>50</v>
      </c>
      <c r="G7">
        <v>12</v>
      </c>
      <c r="H7" s="34" t="s">
        <v>329</v>
      </c>
    </row>
    <row r="8" spans="1:8" x14ac:dyDescent="0.25">
      <c r="A8" t="s">
        <v>34</v>
      </c>
      <c r="B8" s="4" t="s">
        <v>38</v>
      </c>
      <c r="C8" s="40" t="s">
        <v>330</v>
      </c>
      <c r="D8">
        <v>300</v>
      </c>
      <c r="E8">
        <v>40</v>
      </c>
      <c r="F8">
        <v>30</v>
      </c>
      <c r="G8">
        <v>4</v>
      </c>
      <c r="H8" s="34" t="s">
        <v>331</v>
      </c>
    </row>
    <row r="9" spans="1:8" x14ac:dyDescent="0.25">
      <c r="A9" t="s">
        <v>39</v>
      </c>
      <c r="B9" s="5" t="s">
        <v>43</v>
      </c>
      <c r="C9" s="40" t="s">
        <v>323</v>
      </c>
      <c r="D9">
        <v>578</v>
      </c>
      <c r="E9">
        <v>214</v>
      </c>
      <c r="F9">
        <v>58</v>
      </c>
      <c r="G9">
        <v>21</v>
      </c>
      <c r="H9" s="34" t="s">
        <v>332</v>
      </c>
    </row>
    <row r="10" spans="1:8" x14ac:dyDescent="0.25">
      <c r="A10" t="s">
        <v>44</v>
      </c>
      <c r="B10" s="6" t="s">
        <v>48</v>
      </c>
      <c r="C10" s="40" t="s">
        <v>330</v>
      </c>
      <c r="D10">
        <v>450</v>
      </c>
      <c r="E10">
        <v>60</v>
      </c>
      <c r="F10">
        <v>45</v>
      </c>
      <c r="G10">
        <v>6</v>
      </c>
      <c r="H10" s="34" t="s">
        <v>333</v>
      </c>
    </row>
    <row r="11" spans="1:8" x14ac:dyDescent="0.25">
      <c r="A11" t="s">
        <v>49</v>
      </c>
      <c r="B11" s="4" t="s">
        <v>38</v>
      </c>
      <c r="C11" s="40" t="s">
        <v>330</v>
      </c>
      <c r="D11">
        <v>300</v>
      </c>
      <c r="E11">
        <v>40</v>
      </c>
      <c r="F11">
        <v>30</v>
      </c>
      <c r="G11">
        <v>4</v>
      </c>
      <c r="H11" s="34" t="s">
        <v>334</v>
      </c>
    </row>
    <row r="12" spans="1:8" x14ac:dyDescent="0.25">
      <c r="A12" t="s">
        <v>53</v>
      </c>
      <c r="B12" s="6" t="s">
        <v>48</v>
      </c>
      <c r="C12" s="40" t="s">
        <v>327</v>
      </c>
      <c r="D12">
        <v>600</v>
      </c>
      <c r="E12">
        <v>30</v>
      </c>
      <c r="F12">
        <v>60</v>
      </c>
      <c r="G12">
        <v>3</v>
      </c>
      <c r="H12" s="34" t="s">
        <v>335</v>
      </c>
    </row>
    <row r="13" spans="1:8" x14ac:dyDescent="0.25">
      <c r="A13" t="s">
        <v>57</v>
      </c>
      <c r="B13" s="2" t="s">
        <v>12</v>
      </c>
      <c r="C13" s="40" t="s">
        <v>325</v>
      </c>
      <c r="D13">
        <v>1125</v>
      </c>
      <c r="E13">
        <v>275</v>
      </c>
      <c r="F13">
        <v>113</v>
      </c>
      <c r="G13">
        <v>28</v>
      </c>
      <c r="H13" s="34" t="s">
        <v>336</v>
      </c>
    </row>
    <row r="14" spans="1:8" x14ac:dyDescent="0.25">
      <c r="A14" t="s">
        <v>61</v>
      </c>
      <c r="B14" s="5" t="s">
        <v>43</v>
      </c>
      <c r="C14" s="40" t="s">
        <v>325</v>
      </c>
      <c r="D14">
        <v>742</v>
      </c>
      <c r="E14">
        <v>182</v>
      </c>
      <c r="F14">
        <v>74</v>
      </c>
      <c r="G14">
        <v>18</v>
      </c>
      <c r="H14" s="34" t="s">
        <v>337</v>
      </c>
    </row>
    <row r="15" spans="1:8" x14ac:dyDescent="0.25">
      <c r="A15" t="s">
        <v>65</v>
      </c>
      <c r="B15" s="2" t="s">
        <v>12</v>
      </c>
      <c r="C15" s="40" t="s">
        <v>338</v>
      </c>
      <c r="D15">
        <v>1750</v>
      </c>
      <c r="E15">
        <v>150</v>
      </c>
      <c r="F15">
        <v>175</v>
      </c>
      <c r="G15">
        <v>15</v>
      </c>
      <c r="H15" s="34" t="s">
        <v>339</v>
      </c>
    </row>
    <row r="16" spans="1:8" x14ac:dyDescent="0.25">
      <c r="A16" t="s">
        <v>70</v>
      </c>
      <c r="B16" s="5" t="s">
        <v>43</v>
      </c>
      <c r="C16" s="40" t="s">
        <v>320</v>
      </c>
      <c r="D16">
        <v>1375</v>
      </c>
      <c r="E16">
        <v>225</v>
      </c>
      <c r="F16">
        <v>138</v>
      </c>
      <c r="G16">
        <v>23</v>
      </c>
      <c r="H16" s="30" t="s">
        <v>324</v>
      </c>
    </row>
    <row r="17" spans="1:8" x14ac:dyDescent="0.25">
      <c r="A17" t="s">
        <v>69</v>
      </c>
      <c r="B17" s="2" t="s">
        <v>12</v>
      </c>
      <c r="C17" s="40" t="s">
        <v>330</v>
      </c>
      <c r="D17">
        <v>300</v>
      </c>
      <c r="E17">
        <v>40</v>
      </c>
      <c r="F17">
        <v>30</v>
      </c>
      <c r="G17">
        <v>4</v>
      </c>
    </row>
    <row r="18" spans="1:8" x14ac:dyDescent="0.25">
      <c r="A18" t="s">
        <v>299</v>
      </c>
      <c r="B18" s="2" t="s">
        <v>12</v>
      </c>
      <c r="C18" t="s">
        <v>327</v>
      </c>
      <c r="D18">
        <v>2200</v>
      </c>
      <c r="E18">
        <v>120</v>
      </c>
      <c r="F18">
        <v>220</v>
      </c>
      <c r="G18">
        <v>12</v>
      </c>
      <c r="H18" t="s">
        <v>340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3" sqref="A3"/>
    </sheetView>
  </sheetViews>
  <sheetFormatPr defaultRowHeight="15" x14ac:dyDescent="0.25"/>
  <cols>
    <col min="1" max="1" width="24.7109375" style="38" bestFit="1" customWidth="1"/>
    <col min="2" max="2" width="34.7109375" style="38" bestFit="1" customWidth="1"/>
    <col min="3" max="3" width="102.7109375" style="38" customWidth="1"/>
  </cols>
  <sheetData>
    <row r="1" spans="1:3" x14ac:dyDescent="0.25">
      <c r="A1" s="16" t="s">
        <v>0</v>
      </c>
      <c r="B1" s="16" t="s">
        <v>341</v>
      </c>
      <c r="C1" s="16" t="s">
        <v>342</v>
      </c>
    </row>
    <row r="2" spans="1:3" x14ac:dyDescent="0.25">
      <c r="A2" s="34" t="s">
        <v>321</v>
      </c>
      <c r="B2" t="s">
        <v>10</v>
      </c>
      <c r="C2" t="s">
        <v>343</v>
      </c>
    </row>
    <row r="3" spans="1:3" x14ac:dyDescent="0.25">
      <c r="A3" s="34" t="s">
        <v>322</v>
      </c>
      <c r="B3" t="s">
        <v>16</v>
      </c>
      <c r="C3" t="s">
        <v>344</v>
      </c>
    </row>
    <row r="4" spans="1:3" x14ac:dyDescent="0.25">
      <c r="A4" s="34" t="s">
        <v>324</v>
      </c>
      <c r="B4" t="s">
        <v>20</v>
      </c>
      <c r="C4" t="s">
        <v>345</v>
      </c>
    </row>
    <row r="5" spans="1:3" x14ac:dyDescent="0.25">
      <c r="A5" s="34" t="s">
        <v>326</v>
      </c>
      <c r="B5" t="s">
        <v>24</v>
      </c>
      <c r="C5" t="s">
        <v>346</v>
      </c>
    </row>
    <row r="6" spans="1:3" x14ac:dyDescent="0.25">
      <c r="A6" s="34" t="s">
        <v>328</v>
      </c>
      <c r="B6" t="s">
        <v>29</v>
      </c>
      <c r="C6" t="s">
        <v>347</v>
      </c>
    </row>
    <row r="7" spans="1:3" x14ac:dyDescent="0.25">
      <c r="A7" s="34" t="s">
        <v>329</v>
      </c>
      <c r="B7" t="s">
        <v>33</v>
      </c>
      <c r="C7" t="s">
        <v>348</v>
      </c>
    </row>
    <row r="8" spans="1:3" x14ac:dyDescent="0.25">
      <c r="A8" s="34" t="s">
        <v>331</v>
      </c>
      <c r="B8" t="s">
        <v>37</v>
      </c>
      <c r="C8" t="s">
        <v>349</v>
      </c>
    </row>
    <row r="9" spans="1:3" x14ac:dyDescent="0.25">
      <c r="A9" s="34" t="s">
        <v>332</v>
      </c>
      <c r="B9" t="s">
        <v>42</v>
      </c>
      <c r="C9" t="s">
        <v>350</v>
      </c>
    </row>
    <row r="10" spans="1:3" x14ac:dyDescent="0.25">
      <c r="A10" s="34" t="s">
        <v>333</v>
      </c>
      <c r="B10" t="s">
        <v>47</v>
      </c>
      <c r="C10" t="s">
        <v>351</v>
      </c>
    </row>
    <row r="11" spans="1:3" x14ac:dyDescent="0.25">
      <c r="A11" s="34" t="s">
        <v>334</v>
      </c>
      <c r="B11" t="s">
        <v>52</v>
      </c>
      <c r="C11" t="s">
        <v>352</v>
      </c>
    </row>
    <row r="12" spans="1:3" x14ac:dyDescent="0.25">
      <c r="A12" s="34" t="s">
        <v>335</v>
      </c>
      <c r="B12" t="s">
        <v>56</v>
      </c>
      <c r="C12" t="s">
        <v>353</v>
      </c>
    </row>
    <row r="13" spans="1:3" x14ac:dyDescent="0.25">
      <c r="A13" s="34" t="s">
        <v>336</v>
      </c>
      <c r="B13" t="s">
        <v>60</v>
      </c>
      <c r="C13" t="s">
        <v>354</v>
      </c>
    </row>
    <row r="14" spans="1:3" x14ac:dyDescent="0.25">
      <c r="A14" s="34" t="s">
        <v>337</v>
      </c>
      <c r="B14" t="s">
        <v>64</v>
      </c>
      <c r="C14" t="s">
        <v>355</v>
      </c>
    </row>
    <row r="15" spans="1:3" x14ac:dyDescent="0.25">
      <c r="A15" s="34" t="s">
        <v>339</v>
      </c>
      <c r="B15" t="s">
        <v>68</v>
      </c>
      <c r="C15" t="s">
        <v>356</v>
      </c>
    </row>
    <row r="16" spans="1:3" x14ac:dyDescent="0.25">
      <c r="A16" s="34" t="s">
        <v>357</v>
      </c>
      <c r="B16" t="s">
        <v>358</v>
      </c>
      <c r="C16" t="s">
        <v>359</v>
      </c>
    </row>
    <row r="17" spans="1:3" x14ac:dyDescent="0.25">
      <c r="A17" s="34" t="s">
        <v>360</v>
      </c>
      <c r="B17" t="s">
        <v>361</v>
      </c>
      <c r="C17" t="s">
        <v>362</v>
      </c>
    </row>
    <row r="18" spans="1:3" x14ac:dyDescent="0.25">
      <c r="A18" t="s">
        <v>363</v>
      </c>
      <c r="B18" t="s">
        <v>364</v>
      </c>
      <c r="C18" t="s">
        <v>365</v>
      </c>
    </row>
    <row r="19" spans="1:3" x14ac:dyDescent="0.25">
      <c r="A19" t="s">
        <v>366</v>
      </c>
      <c r="B19" t="s">
        <v>367</v>
      </c>
      <c r="C19" t="s">
        <v>368</v>
      </c>
    </row>
    <row r="20" spans="1:3" x14ac:dyDescent="0.25">
      <c r="A20" t="s">
        <v>369</v>
      </c>
      <c r="B20" t="s">
        <v>370</v>
      </c>
      <c r="C20" t="s">
        <v>371</v>
      </c>
    </row>
    <row r="21" spans="1:3" x14ac:dyDescent="0.25">
      <c r="A21" t="s">
        <v>372</v>
      </c>
      <c r="B21" t="s">
        <v>373</v>
      </c>
      <c r="C21" t="s">
        <v>374</v>
      </c>
    </row>
    <row r="22" spans="1:3" x14ac:dyDescent="0.25">
      <c r="A22" t="s">
        <v>340</v>
      </c>
      <c r="B22" t="s">
        <v>302</v>
      </c>
      <c r="C22" t="s">
        <v>375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J9" sqref="J9"/>
    </sheetView>
  </sheetViews>
  <sheetFormatPr defaultRowHeight="15" x14ac:dyDescent="0.25"/>
  <cols>
    <col min="1" max="1" width="24.7109375" style="38" bestFit="1" customWidth="1"/>
    <col min="2" max="2" width="13.28515625" style="38" customWidth="1"/>
    <col min="3" max="3" width="16.28515625" style="38" customWidth="1"/>
    <col min="4" max="4" width="20.5703125" style="38" customWidth="1"/>
    <col min="5" max="5" width="72.5703125" style="38" customWidth="1"/>
  </cols>
  <sheetData>
    <row r="1" spans="1:5" x14ac:dyDescent="0.25">
      <c r="A1" s="16" t="s">
        <v>376</v>
      </c>
      <c r="B1" s="16" t="s">
        <v>377</v>
      </c>
      <c r="C1" s="16" t="s">
        <v>378</v>
      </c>
      <c r="D1" s="16" t="s">
        <v>379</v>
      </c>
      <c r="E1" s="16" t="s">
        <v>342</v>
      </c>
    </row>
    <row r="2" spans="1:5" x14ac:dyDescent="0.25">
      <c r="A2" s="31" t="s">
        <v>321</v>
      </c>
      <c r="B2" s="39" t="s">
        <v>312</v>
      </c>
      <c r="C2" s="39" t="s">
        <v>380</v>
      </c>
      <c r="D2" t="s">
        <v>381</v>
      </c>
      <c r="E2" t="s">
        <v>343</v>
      </c>
    </row>
    <row r="3" spans="1:5" x14ac:dyDescent="0.25">
      <c r="A3" s="31" t="s">
        <v>321</v>
      </c>
      <c r="B3" s="39" t="s">
        <v>314</v>
      </c>
      <c r="C3" s="39" t="s">
        <v>380</v>
      </c>
      <c r="D3" t="s">
        <v>381</v>
      </c>
      <c r="E3" t="s">
        <v>343</v>
      </c>
    </row>
    <row r="4" spans="1:5" x14ac:dyDescent="0.25">
      <c r="A4" s="34" t="s">
        <v>322</v>
      </c>
      <c r="B4" s="39" t="s">
        <v>382</v>
      </c>
      <c r="C4" s="39" t="s">
        <v>380</v>
      </c>
      <c r="D4" t="s">
        <v>383</v>
      </c>
      <c r="E4" t="s">
        <v>344</v>
      </c>
    </row>
    <row r="5" spans="1:5" x14ac:dyDescent="0.25">
      <c r="A5" s="34" t="s">
        <v>324</v>
      </c>
      <c r="B5" s="39" t="s">
        <v>382</v>
      </c>
      <c r="C5" s="39" t="s">
        <v>380</v>
      </c>
      <c r="D5" t="s">
        <v>384</v>
      </c>
      <c r="E5" t="s">
        <v>345</v>
      </c>
    </row>
    <row r="6" spans="1:5" x14ac:dyDescent="0.25">
      <c r="A6" s="34" t="s">
        <v>326</v>
      </c>
      <c r="B6" s="39" t="s">
        <v>385</v>
      </c>
      <c r="C6" s="39" t="s">
        <v>380</v>
      </c>
      <c r="D6" t="s">
        <v>384</v>
      </c>
      <c r="E6" t="s">
        <v>346</v>
      </c>
    </row>
    <row r="7" spans="1:5" x14ac:dyDescent="0.25">
      <c r="A7" s="31" t="s">
        <v>328</v>
      </c>
      <c r="B7" s="39" t="s">
        <v>313</v>
      </c>
      <c r="C7" s="39" t="s">
        <v>380</v>
      </c>
      <c r="D7" t="s">
        <v>386</v>
      </c>
      <c r="E7" t="s">
        <v>347</v>
      </c>
    </row>
    <row r="8" spans="1:5" x14ac:dyDescent="0.25">
      <c r="A8" s="31" t="s">
        <v>328</v>
      </c>
      <c r="B8" s="39" t="s">
        <v>385</v>
      </c>
      <c r="C8" s="39" t="s">
        <v>380</v>
      </c>
      <c r="D8" t="s">
        <v>386</v>
      </c>
      <c r="E8" t="s">
        <v>347</v>
      </c>
    </row>
    <row r="9" spans="1:5" x14ac:dyDescent="0.25">
      <c r="A9" s="34" t="s">
        <v>332</v>
      </c>
      <c r="B9" s="39" t="s">
        <v>312</v>
      </c>
      <c r="C9" s="39" t="s">
        <v>380</v>
      </c>
      <c r="D9" t="s">
        <v>387</v>
      </c>
      <c r="E9" t="s">
        <v>350</v>
      </c>
    </row>
    <row r="10" spans="1:5" x14ac:dyDescent="0.25">
      <c r="A10" s="34" t="s">
        <v>333</v>
      </c>
      <c r="B10" s="39" t="s">
        <v>309</v>
      </c>
      <c r="C10" s="39" t="s">
        <v>380</v>
      </c>
      <c r="D10" t="s">
        <v>386</v>
      </c>
      <c r="E10" t="s">
        <v>351</v>
      </c>
    </row>
    <row r="11" spans="1:5" x14ac:dyDescent="0.25">
      <c r="A11" s="34" t="s">
        <v>334</v>
      </c>
      <c r="B11" s="39" t="s">
        <v>382</v>
      </c>
      <c r="C11" s="39" t="s">
        <v>380</v>
      </c>
      <c r="D11" t="s">
        <v>388</v>
      </c>
      <c r="E11" t="s">
        <v>352</v>
      </c>
    </row>
    <row r="12" spans="1:5" x14ac:dyDescent="0.25">
      <c r="A12" s="34" t="s">
        <v>335</v>
      </c>
      <c r="B12" s="39" t="s">
        <v>389</v>
      </c>
      <c r="C12" s="39" t="s">
        <v>380</v>
      </c>
      <c r="D12" t="s">
        <v>390</v>
      </c>
      <c r="E12" t="s">
        <v>353</v>
      </c>
    </row>
    <row r="13" spans="1:5" x14ac:dyDescent="0.25">
      <c r="A13" s="31" t="s">
        <v>336</v>
      </c>
      <c r="B13" s="39" t="s">
        <v>314</v>
      </c>
      <c r="C13" s="39" t="s">
        <v>380</v>
      </c>
      <c r="D13" t="s">
        <v>391</v>
      </c>
      <c r="E13" t="s">
        <v>354</v>
      </c>
    </row>
    <row r="14" spans="1:5" x14ac:dyDescent="0.25">
      <c r="A14" s="31" t="s">
        <v>336</v>
      </c>
      <c r="B14" s="39" t="s">
        <v>312</v>
      </c>
      <c r="C14" s="39" t="s">
        <v>380</v>
      </c>
      <c r="D14" t="s">
        <v>392</v>
      </c>
      <c r="E14" t="s">
        <v>354</v>
      </c>
    </row>
    <row r="15" spans="1:5" x14ac:dyDescent="0.25">
      <c r="A15" s="34" t="s">
        <v>337</v>
      </c>
      <c r="B15" s="39" t="s">
        <v>385</v>
      </c>
      <c r="C15" s="39" t="s">
        <v>380</v>
      </c>
      <c r="D15" t="s">
        <v>393</v>
      </c>
      <c r="E15" t="s">
        <v>355</v>
      </c>
    </row>
    <row r="16" spans="1:5" x14ac:dyDescent="0.25">
      <c r="A16" s="34" t="s">
        <v>339</v>
      </c>
      <c r="B16" s="39" t="s">
        <v>394</v>
      </c>
      <c r="C16" s="39" t="s">
        <v>380</v>
      </c>
      <c r="D16" t="s">
        <v>395</v>
      </c>
      <c r="E16" t="s">
        <v>356</v>
      </c>
    </row>
    <row r="17" spans="1:5" x14ac:dyDescent="0.25">
      <c r="A17" t="s">
        <v>340</v>
      </c>
      <c r="B17" t="s">
        <v>313</v>
      </c>
      <c r="C17" t="s">
        <v>380</v>
      </c>
      <c r="D17" t="s">
        <v>396</v>
      </c>
      <c r="E17" t="s">
        <v>397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zoomScale="115" zoomScaleNormal="115" workbookViewId="0">
      <selection activeCell="A3" sqref="A3"/>
    </sheetView>
  </sheetViews>
  <sheetFormatPr defaultRowHeight="15" x14ac:dyDescent="0.25"/>
  <cols>
    <col min="1" max="1" width="26.7109375" style="38" customWidth="1"/>
    <col min="2" max="2" width="19.7109375" style="38" bestFit="1" customWidth="1"/>
    <col min="3" max="3" width="31.5703125" style="38" customWidth="1"/>
    <col min="4" max="4" width="35.28515625" style="38" customWidth="1"/>
    <col min="5" max="5" width="30" style="38" bestFit="1" customWidth="1"/>
    <col min="6" max="8" width="23.28515625" style="38" customWidth="1"/>
    <col min="9" max="9" width="67.42578125" style="38" customWidth="1"/>
  </cols>
  <sheetData>
    <row r="1" spans="1:9" x14ac:dyDescent="0.25">
      <c r="A1" s="16" t="s">
        <v>376</v>
      </c>
      <c r="B1" s="16" t="s">
        <v>398</v>
      </c>
      <c r="C1" s="16" t="s">
        <v>399</v>
      </c>
      <c r="D1" s="16" t="s">
        <v>379</v>
      </c>
      <c r="E1" s="16" t="s">
        <v>400</v>
      </c>
      <c r="F1" s="16" t="s">
        <v>401</v>
      </c>
      <c r="G1" s="16" t="s">
        <v>402</v>
      </c>
      <c r="H1" s="16" t="s">
        <v>403</v>
      </c>
      <c r="I1" s="16" t="s">
        <v>342</v>
      </c>
    </row>
    <row r="2" spans="1:9" x14ac:dyDescent="0.25">
      <c r="A2" s="34" t="s">
        <v>321</v>
      </c>
      <c r="B2" t="s">
        <v>404</v>
      </c>
      <c r="C2" t="s">
        <v>405</v>
      </c>
      <c r="D2" t="s">
        <v>406</v>
      </c>
      <c r="E2" t="s">
        <v>407</v>
      </c>
      <c r="F2" s="40">
        <v>0</v>
      </c>
      <c r="G2" s="40"/>
      <c r="H2" s="40" t="s">
        <v>408</v>
      </c>
      <c r="I2" t="s">
        <v>343</v>
      </c>
    </row>
    <row r="3" spans="1:9" x14ac:dyDescent="0.25">
      <c r="A3" s="34" t="s">
        <v>322</v>
      </c>
      <c r="B3" t="s">
        <v>404</v>
      </c>
      <c r="C3" t="s">
        <v>409</v>
      </c>
      <c r="D3" t="s">
        <v>410</v>
      </c>
      <c r="E3" t="s">
        <v>411</v>
      </c>
      <c r="F3" s="40">
        <v>1</v>
      </c>
      <c r="G3" s="40">
        <v>0</v>
      </c>
      <c r="H3" s="40" t="s">
        <v>408</v>
      </c>
      <c r="I3" t="s">
        <v>344</v>
      </c>
    </row>
    <row r="4" spans="1:9" x14ac:dyDescent="0.25">
      <c r="A4" s="33" t="s">
        <v>324</v>
      </c>
      <c r="B4" t="s">
        <v>404</v>
      </c>
      <c r="C4" t="s">
        <v>412</v>
      </c>
      <c r="D4" t="s">
        <v>410</v>
      </c>
      <c r="E4" t="s">
        <v>413</v>
      </c>
      <c r="F4" s="40"/>
      <c r="G4" s="40">
        <v>1</v>
      </c>
      <c r="H4" s="40" t="s">
        <v>408</v>
      </c>
      <c r="I4" t="s">
        <v>345</v>
      </c>
    </row>
    <row r="5" spans="1:9" x14ac:dyDescent="0.25">
      <c r="A5" s="34" t="s">
        <v>326</v>
      </c>
      <c r="B5" t="s">
        <v>414</v>
      </c>
      <c r="C5" t="s">
        <v>415</v>
      </c>
      <c r="D5" t="s">
        <v>410</v>
      </c>
      <c r="E5" t="s">
        <v>416</v>
      </c>
      <c r="F5" s="40">
        <v>1</v>
      </c>
      <c r="G5" s="40">
        <v>0</v>
      </c>
      <c r="H5" s="40" t="s">
        <v>408</v>
      </c>
      <c r="I5" t="s">
        <v>346</v>
      </c>
    </row>
    <row r="6" spans="1:9" x14ac:dyDescent="0.25">
      <c r="A6" s="34" t="s">
        <v>328</v>
      </c>
      <c r="B6" t="s">
        <v>417</v>
      </c>
      <c r="C6" t="s">
        <v>418</v>
      </c>
      <c r="D6" t="s">
        <v>419</v>
      </c>
      <c r="E6" s="32" t="s">
        <v>420</v>
      </c>
      <c r="F6" s="40">
        <v>6</v>
      </c>
      <c r="G6" s="40">
        <v>0</v>
      </c>
      <c r="H6" s="40" t="s">
        <v>408</v>
      </c>
      <c r="I6" t="s">
        <v>347</v>
      </c>
    </row>
    <row r="7" spans="1:9" x14ac:dyDescent="0.25">
      <c r="A7" s="34" t="s">
        <v>329</v>
      </c>
      <c r="B7" t="s">
        <v>421</v>
      </c>
      <c r="C7" t="s">
        <v>405</v>
      </c>
      <c r="D7" t="s">
        <v>422</v>
      </c>
      <c r="E7" t="s">
        <v>423</v>
      </c>
      <c r="F7" s="40">
        <v>0</v>
      </c>
      <c r="G7" s="40">
        <v>0</v>
      </c>
      <c r="H7" s="40" t="s">
        <v>408</v>
      </c>
      <c r="I7" t="s">
        <v>348</v>
      </c>
    </row>
    <row r="8" spans="1:9" x14ac:dyDescent="0.25">
      <c r="A8" s="34" t="s">
        <v>332</v>
      </c>
      <c r="B8" t="s">
        <v>421</v>
      </c>
      <c r="C8" t="s">
        <v>424</v>
      </c>
      <c r="D8" t="s">
        <v>410</v>
      </c>
      <c r="E8" t="s">
        <v>420</v>
      </c>
      <c r="F8" s="40">
        <v>2</v>
      </c>
      <c r="G8" s="40"/>
      <c r="H8" s="40" t="s">
        <v>425</v>
      </c>
      <c r="I8" t="s">
        <v>350</v>
      </c>
    </row>
    <row r="9" spans="1:9" x14ac:dyDescent="0.25">
      <c r="A9" s="34" t="s">
        <v>336</v>
      </c>
      <c r="B9" t="s">
        <v>426</v>
      </c>
      <c r="C9" t="s">
        <v>409</v>
      </c>
      <c r="D9" t="s">
        <v>410</v>
      </c>
      <c r="E9" t="s">
        <v>427</v>
      </c>
      <c r="F9" s="40">
        <v>1</v>
      </c>
      <c r="G9" s="40">
        <v>0</v>
      </c>
      <c r="H9" s="40" t="s">
        <v>408</v>
      </c>
      <c r="I9" t="s">
        <v>354</v>
      </c>
    </row>
    <row r="10" spans="1:9" x14ac:dyDescent="0.25">
      <c r="A10" s="34" t="s">
        <v>337</v>
      </c>
      <c r="B10" t="s">
        <v>426</v>
      </c>
      <c r="C10" t="s">
        <v>428</v>
      </c>
      <c r="D10" t="s">
        <v>429</v>
      </c>
      <c r="E10" t="s">
        <v>420</v>
      </c>
      <c r="F10" s="40">
        <v>1</v>
      </c>
      <c r="G10" s="40">
        <v>0</v>
      </c>
      <c r="H10" s="40" t="s">
        <v>425</v>
      </c>
      <c r="I10" t="s">
        <v>355</v>
      </c>
    </row>
    <row r="11" spans="1:9" x14ac:dyDescent="0.25">
      <c r="A11" s="33" t="s">
        <v>339</v>
      </c>
      <c r="B11" t="s">
        <v>404</v>
      </c>
      <c r="C11" t="s">
        <v>430</v>
      </c>
      <c r="D11" t="s">
        <v>429</v>
      </c>
      <c r="E11" t="s">
        <v>416</v>
      </c>
      <c r="F11" s="40">
        <v>2</v>
      </c>
      <c r="G11" s="40">
        <v>2</v>
      </c>
      <c r="H11" s="40" t="s">
        <v>408</v>
      </c>
      <c r="I11" t="s">
        <v>356</v>
      </c>
    </row>
    <row r="12" spans="1:9" x14ac:dyDescent="0.25">
      <c r="A12" s="34" t="s">
        <v>331</v>
      </c>
      <c r="B12" t="s">
        <v>431</v>
      </c>
      <c r="C12" t="s">
        <v>432</v>
      </c>
      <c r="D12" t="s">
        <v>422</v>
      </c>
      <c r="E12" t="s">
        <v>420</v>
      </c>
      <c r="F12" s="40">
        <v>0</v>
      </c>
      <c r="G12" s="40">
        <v>0</v>
      </c>
      <c r="H12" s="40" t="s">
        <v>408</v>
      </c>
      <c r="I12" t="s">
        <v>349</v>
      </c>
    </row>
    <row r="13" spans="1:9" x14ac:dyDescent="0.25">
      <c r="A13" s="34" t="s">
        <v>357</v>
      </c>
      <c r="B13" t="s">
        <v>433</v>
      </c>
      <c r="C13" t="s">
        <v>434</v>
      </c>
      <c r="D13" t="s">
        <v>435</v>
      </c>
      <c r="E13" t="s">
        <v>436</v>
      </c>
      <c r="F13">
        <v>0</v>
      </c>
      <c r="G13">
        <v>0</v>
      </c>
      <c r="H13" s="40" t="s">
        <v>408</v>
      </c>
      <c r="I13" t="s">
        <v>437</v>
      </c>
    </row>
    <row r="14" spans="1:9" x14ac:dyDescent="0.25">
      <c r="A14" t="s">
        <v>363</v>
      </c>
      <c r="B14" t="s">
        <v>431</v>
      </c>
      <c r="C14" t="s">
        <v>438</v>
      </c>
      <c r="D14" t="s">
        <v>439</v>
      </c>
      <c r="E14" t="s">
        <v>436</v>
      </c>
      <c r="F14">
        <v>0</v>
      </c>
      <c r="G14">
        <v>0</v>
      </c>
      <c r="H14" t="s">
        <v>408</v>
      </c>
      <c r="I14" t="s">
        <v>440</v>
      </c>
    </row>
    <row r="15" spans="1:9" x14ac:dyDescent="0.25">
      <c r="A15" t="s">
        <v>366</v>
      </c>
      <c r="B15" t="s">
        <v>433</v>
      </c>
      <c r="C15" t="s">
        <v>441</v>
      </c>
      <c r="D15" t="s">
        <v>442</v>
      </c>
      <c r="E15" t="s">
        <v>443</v>
      </c>
      <c r="F15">
        <v>5</v>
      </c>
      <c r="G15">
        <v>0</v>
      </c>
      <c r="H15" t="s">
        <v>408</v>
      </c>
      <c r="I15" t="s">
        <v>368</v>
      </c>
    </row>
    <row r="16" spans="1:9" x14ac:dyDescent="0.25">
      <c r="A16" t="s">
        <v>369</v>
      </c>
      <c r="B16" t="s">
        <v>431</v>
      </c>
      <c r="C16" t="s">
        <v>444</v>
      </c>
      <c r="D16" t="s">
        <v>445</v>
      </c>
      <c r="E16" t="s">
        <v>446</v>
      </c>
      <c r="F16">
        <v>0</v>
      </c>
      <c r="G16">
        <v>0</v>
      </c>
      <c r="H16" t="s">
        <v>408</v>
      </c>
      <c r="I16" t="s">
        <v>371</v>
      </c>
    </row>
    <row r="17" spans="1:9" x14ac:dyDescent="0.25">
      <c r="A17" t="s">
        <v>372</v>
      </c>
      <c r="B17" t="s">
        <v>431</v>
      </c>
      <c r="C17" t="s">
        <v>447</v>
      </c>
      <c r="D17" t="s">
        <v>445</v>
      </c>
      <c r="E17" t="s">
        <v>446</v>
      </c>
      <c r="F17">
        <v>0</v>
      </c>
      <c r="G17">
        <v>0</v>
      </c>
      <c r="H17" t="s">
        <v>408</v>
      </c>
      <c r="I17" t="s">
        <v>448</v>
      </c>
    </row>
    <row r="18" spans="1:9" x14ac:dyDescent="0.25">
      <c r="A18" t="s">
        <v>360</v>
      </c>
      <c r="B18" t="s">
        <v>433</v>
      </c>
      <c r="C18" t="s">
        <v>449</v>
      </c>
      <c r="D18" t="s">
        <v>450</v>
      </c>
      <c r="E18" t="s">
        <v>446</v>
      </c>
      <c r="F18">
        <v>0</v>
      </c>
      <c r="G18">
        <v>0</v>
      </c>
      <c r="H18" t="s">
        <v>425</v>
      </c>
      <c r="I18" t="s">
        <v>451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workbookViewId="0">
      <selection activeCell="J23" sqref="J23"/>
    </sheetView>
  </sheetViews>
  <sheetFormatPr defaultRowHeight="15" x14ac:dyDescent="0.25"/>
  <cols>
    <col min="1" max="1" width="19.42578125" style="38" bestFit="1" customWidth="1"/>
    <col min="2" max="2" width="10.5703125" style="38" bestFit="1" customWidth="1"/>
    <col min="3" max="3" width="9.42578125" style="38" bestFit="1" customWidth="1"/>
    <col min="4" max="4" width="11.140625" style="38" bestFit="1" customWidth="1"/>
    <col min="5" max="5" width="17.85546875" style="38" customWidth="1"/>
    <col min="6" max="6" width="14.85546875" style="38" bestFit="1" customWidth="1"/>
    <col min="7" max="7" width="14.85546875" style="38" customWidth="1"/>
    <col min="8" max="8" width="15.28515625" style="38" customWidth="1"/>
    <col min="10" max="10" width="73.28515625" style="38" customWidth="1"/>
  </cols>
  <sheetData>
    <row r="1" spans="1:8" x14ac:dyDescent="0.25">
      <c r="A1" s="1" t="s">
        <v>0</v>
      </c>
      <c r="B1" s="16" t="s">
        <v>452</v>
      </c>
      <c r="C1" s="16" t="s">
        <v>453</v>
      </c>
      <c r="D1" s="16" t="s">
        <v>25</v>
      </c>
      <c r="E1" s="16" t="s">
        <v>454</v>
      </c>
      <c r="F1" s="16" t="s">
        <v>455</v>
      </c>
      <c r="G1" s="16" t="s">
        <v>456</v>
      </c>
      <c r="H1" s="16" t="s">
        <v>457</v>
      </c>
    </row>
    <row r="2" spans="1:8" x14ac:dyDescent="0.25">
      <c r="A2" s="15" t="s">
        <v>241</v>
      </c>
      <c r="B2" s="40" t="s">
        <v>458</v>
      </c>
      <c r="C2" s="40" t="s">
        <v>459</v>
      </c>
      <c r="D2" s="2" t="s">
        <v>12</v>
      </c>
      <c r="E2" s="39" t="s">
        <v>460</v>
      </c>
      <c r="F2" s="40">
        <v>500</v>
      </c>
      <c r="G2" s="40" t="s">
        <v>310</v>
      </c>
      <c r="H2" t="s">
        <v>461</v>
      </c>
    </row>
    <row r="3" spans="1:8" x14ac:dyDescent="0.25">
      <c r="A3" s="15" t="s">
        <v>244</v>
      </c>
      <c r="B3" s="40" t="s">
        <v>458</v>
      </c>
      <c r="C3" s="40" t="s">
        <v>462</v>
      </c>
      <c r="D3" s="3" t="s">
        <v>25</v>
      </c>
      <c r="E3" s="39" t="s">
        <v>460</v>
      </c>
      <c r="F3" s="40">
        <v>500</v>
      </c>
      <c r="G3" s="40" t="s">
        <v>310</v>
      </c>
      <c r="H3" t="s">
        <v>461</v>
      </c>
    </row>
    <row r="4" spans="1:8" x14ac:dyDescent="0.25">
      <c r="A4" s="15" t="s">
        <v>246</v>
      </c>
      <c r="B4" s="40" t="s">
        <v>458</v>
      </c>
      <c r="C4" s="40" t="s">
        <v>463</v>
      </c>
      <c r="D4" s="6" t="s">
        <v>48</v>
      </c>
      <c r="E4" s="39" t="s">
        <v>460</v>
      </c>
      <c r="F4" s="40">
        <v>500</v>
      </c>
      <c r="G4" s="40" t="s">
        <v>310</v>
      </c>
      <c r="H4" t="s">
        <v>461</v>
      </c>
    </row>
    <row r="5" spans="1:8" x14ac:dyDescent="0.25">
      <c r="A5" s="15" t="s">
        <v>248</v>
      </c>
      <c r="B5" s="40" t="s">
        <v>458</v>
      </c>
      <c r="C5" s="40" t="s">
        <v>464</v>
      </c>
      <c r="D5" s="14" t="s">
        <v>43</v>
      </c>
      <c r="E5" s="39" t="s">
        <v>460</v>
      </c>
      <c r="F5" s="40">
        <v>500</v>
      </c>
      <c r="G5" s="40" t="s">
        <v>310</v>
      </c>
      <c r="H5" t="s">
        <v>461</v>
      </c>
    </row>
    <row r="6" spans="1:8" x14ac:dyDescent="0.25">
      <c r="A6" s="15" t="s">
        <v>250</v>
      </c>
      <c r="B6" s="40" t="s">
        <v>458</v>
      </c>
      <c r="C6" s="40" t="s">
        <v>465</v>
      </c>
      <c r="D6" s="12" t="s">
        <v>38</v>
      </c>
      <c r="E6" s="39" t="s">
        <v>460</v>
      </c>
      <c r="F6" s="40">
        <v>500</v>
      </c>
      <c r="G6" s="40" t="s">
        <v>310</v>
      </c>
      <c r="H6" t="s">
        <v>461</v>
      </c>
    </row>
    <row r="7" spans="1:8" x14ac:dyDescent="0.25">
      <c r="A7" s="15" t="s">
        <v>252</v>
      </c>
      <c r="B7" s="40" t="s">
        <v>458</v>
      </c>
      <c r="C7" s="40" t="s">
        <v>466</v>
      </c>
      <c r="D7" s="14" t="s">
        <v>43</v>
      </c>
      <c r="E7" s="39" t="s">
        <v>460</v>
      </c>
      <c r="F7" s="40">
        <v>500</v>
      </c>
      <c r="G7" s="40" t="s">
        <v>310</v>
      </c>
      <c r="H7" t="s">
        <v>461</v>
      </c>
    </row>
    <row r="8" spans="1:8" x14ac:dyDescent="0.25">
      <c r="A8" s="15" t="s">
        <v>254</v>
      </c>
      <c r="B8" s="40" t="s">
        <v>467</v>
      </c>
      <c r="C8" s="40" t="s">
        <v>459</v>
      </c>
      <c r="D8" s="2" t="s">
        <v>12</v>
      </c>
      <c r="E8" s="39" t="s">
        <v>468</v>
      </c>
      <c r="F8" s="40">
        <v>40</v>
      </c>
      <c r="G8" s="40" t="s">
        <v>310</v>
      </c>
      <c r="H8" t="s">
        <v>461</v>
      </c>
    </row>
    <row r="9" spans="1:8" x14ac:dyDescent="0.25">
      <c r="A9" s="15" t="s">
        <v>255</v>
      </c>
      <c r="B9" s="40" t="s">
        <v>467</v>
      </c>
      <c r="C9" s="40" t="s">
        <v>462</v>
      </c>
      <c r="D9" s="3" t="s">
        <v>25</v>
      </c>
      <c r="E9" s="39" t="s">
        <v>468</v>
      </c>
      <c r="F9" s="40">
        <v>40</v>
      </c>
      <c r="G9" s="40" t="s">
        <v>310</v>
      </c>
      <c r="H9" t="s">
        <v>461</v>
      </c>
    </row>
    <row r="10" spans="1:8" x14ac:dyDescent="0.25">
      <c r="A10" s="15" t="s">
        <v>256</v>
      </c>
      <c r="B10" s="40" t="s">
        <v>467</v>
      </c>
      <c r="C10" s="40" t="s">
        <v>463</v>
      </c>
      <c r="D10" s="6" t="s">
        <v>48</v>
      </c>
      <c r="E10" s="39" t="s">
        <v>468</v>
      </c>
      <c r="F10" s="40">
        <v>40</v>
      </c>
      <c r="G10" s="40" t="s">
        <v>310</v>
      </c>
      <c r="H10" t="s">
        <v>461</v>
      </c>
    </row>
    <row r="11" spans="1:8" x14ac:dyDescent="0.25">
      <c r="A11" s="15" t="s">
        <v>257</v>
      </c>
      <c r="B11" s="40" t="s">
        <v>467</v>
      </c>
      <c r="C11" s="40" t="s">
        <v>464</v>
      </c>
      <c r="D11" s="14" t="s">
        <v>43</v>
      </c>
      <c r="E11" s="39" t="s">
        <v>468</v>
      </c>
      <c r="F11" s="40">
        <v>40</v>
      </c>
      <c r="G11" s="40" t="s">
        <v>310</v>
      </c>
      <c r="H11" t="s">
        <v>461</v>
      </c>
    </row>
    <row r="12" spans="1:8" x14ac:dyDescent="0.25">
      <c r="A12" s="15" t="s">
        <v>258</v>
      </c>
      <c r="B12" s="40" t="s">
        <v>467</v>
      </c>
      <c r="C12" s="40" t="s">
        <v>465</v>
      </c>
      <c r="D12" s="12" t="s">
        <v>38</v>
      </c>
      <c r="E12" s="39" t="s">
        <v>468</v>
      </c>
      <c r="F12" s="40">
        <v>40</v>
      </c>
      <c r="G12" s="40" t="s">
        <v>310</v>
      </c>
      <c r="H12" t="s">
        <v>461</v>
      </c>
    </row>
    <row r="13" spans="1:8" x14ac:dyDescent="0.25">
      <c r="A13" s="15" t="s">
        <v>259</v>
      </c>
      <c r="B13" s="40" t="s">
        <v>467</v>
      </c>
      <c r="C13" s="40" t="s">
        <v>466</v>
      </c>
      <c r="D13" s="14" t="s">
        <v>43</v>
      </c>
      <c r="E13" s="39" t="s">
        <v>468</v>
      </c>
      <c r="F13" s="40">
        <v>40</v>
      </c>
      <c r="G13" s="40" t="s">
        <v>310</v>
      </c>
      <c r="H13" t="s">
        <v>461</v>
      </c>
    </row>
    <row r="14" spans="1:8" x14ac:dyDescent="0.25">
      <c r="A14" s="15" t="s">
        <v>260</v>
      </c>
      <c r="B14" s="40" t="s">
        <v>469</v>
      </c>
      <c r="C14" s="40" t="s">
        <v>459</v>
      </c>
      <c r="D14" s="2" t="s">
        <v>12</v>
      </c>
      <c r="E14" s="39" t="s">
        <v>470</v>
      </c>
      <c r="F14" s="40">
        <v>50</v>
      </c>
      <c r="G14" s="40" t="s">
        <v>310</v>
      </c>
      <c r="H14" t="s">
        <v>461</v>
      </c>
    </row>
    <row r="15" spans="1:8" x14ac:dyDescent="0.25">
      <c r="A15" s="15" t="s">
        <v>261</v>
      </c>
      <c r="B15" s="40" t="s">
        <v>469</v>
      </c>
      <c r="C15" s="40" t="s">
        <v>462</v>
      </c>
      <c r="D15" s="3" t="s">
        <v>25</v>
      </c>
      <c r="E15" s="39" t="s">
        <v>470</v>
      </c>
      <c r="F15" s="40">
        <v>50</v>
      </c>
      <c r="G15" s="40" t="s">
        <v>310</v>
      </c>
      <c r="H15" t="s">
        <v>461</v>
      </c>
    </row>
    <row r="16" spans="1:8" x14ac:dyDescent="0.25">
      <c r="A16" s="15" t="s">
        <v>262</v>
      </c>
      <c r="B16" s="40" t="s">
        <v>469</v>
      </c>
      <c r="C16" s="40" t="s">
        <v>463</v>
      </c>
      <c r="D16" s="6" t="s">
        <v>48</v>
      </c>
      <c r="E16" s="39" t="s">
        <v>470</v>
      </c>
      <c r="F16" s="40">
        <v>50</v>
      </c>
      <c r="G16" s="40" t="s">
        <v>310</v>
      </c>
      <c r="H16" t="s">
        <v>461</v>
      </c>
    </row>
    <row r="17" spans="1:8" x14ac:dyDescent="0.25">
      <c r="A17" s="15" t="s">
        <v>263</v>
      </c>
      <c r="B17" s="40" t="s">
        <v>469</v>
      </c>
      <c r="C17" s="40" t="s">
        <v>464</v>
      </c>
      <c r="D17" s="14" t="s">
        <v>43</v>
      </c>
      <c r="E17" s="39" t="s">
        <v>470</v>
      </c>
      <c r="F17" s="40">
        <v>50</v>
      </c>
      <c r="G17" s="40" t="s">
        <v>310</v>
      </c>
      <c r="H17" t="s">
        <v>461</v>
      </c>
    </row>
    <row r="18" spans="1:8" x14ac:dyDescent="0.25">
      <c r="A18" s="15" t="s">
        <v>264</v>
      </c>
      <c r="B18" s="40" t="s">
        <v>469</v>
      </c>
      <c r="C18" s="40" t="s">
        <v>465</v>
      </c>
      <c r="D18" s="12" t="s">
        <v>38</v>
      </c>
      <c r="E18" s="39" t="s">
        <v>470</v>
      </c>
      <c r="F18" s="40">
        <v>50</v>
      </c>
      <c r="G18" s="40" t="s">
        <v>310</v>
      </c>
      <c r="H18" t="s">
        <v>461</v>
      </c>
    </row>
    <row r="19" spans="1:8" x14ac:dyDescent="0.25">
      <c r="A19" s="15" t="s">
        <v>265</v>
      </c>
      <c r="B19" s="40" t="s">
        <v>469</v>
      </c>
      <c r="C19" s="40" t="s">
        <v>466</v>
      </c>
      <c r="D19" s="14" t="s">
        <v>43</v>
      </c>
      <c r="E19" s="39" t="s">
        <v>470</v>
      </c>
      <c r="F19" s="40">
        <v>50</v>
      </c>
      <c r="G19" s="40" t="s">
        <v>310</v>
      </c>
      <c r="H19" t="s">
        <v>461</v>
      </c>
    </row>
    <row r="20" spans="1:8" x14ac:dyDescent="0.25">
      <c r="A20" s="15" t="s">
        <v>266</v>
      </c>
      <c r="B20" s="40" t="s">
        <v>471</v>
      </c>
      <c r="C20" s="40" t="s">
        <v>459</v>
      </c>
      <c r="D20" s="2" t="s">
        <v>12</v>
      </c>
      <c r="E20" s="39" t="s">
        <v>472</v>
      </c>
      <c r="F20" s="40">
        <v>3</v>
      </c>
      <c r="G20" s="40" t="s">
        <v>310</v>
      </c>
      <c r="H20" t="s">
        <v>461</v>
      </c>
    </row>
    <row r="21" spans="1:8" x14ac:dyDescent="0.25">
      <c r="A21" s="15" t="s">
        <v>267</v>
      </c>
      <c r="B21" s="40" t="s">
        <v>471</v>
      </c>
      <c r="C21" s="40" t="s">
        <v>462</v>
      </c>
      <c r="D21" s="3" t="s">
        <v>25</v>
      </c>
      <c r="E21" s="39" t="s">
        <v>472</v>
      </c>
      <c r="F21" s="40">
        <v>3</v>
      </c>
      <c r="G21" s="40" t="s">
        <v>310</v>
      </c>
      <c r="H21" t="s">
        <v>461</v>
      </c>
    </row>
    <row r="22" spans="1:8" x14ac:dyDescent="0.25">
      <c r="A22" s="15" t="s">
        <v>268</v>
      </c>
      <c r="B22" s="40" t="s">
        <v>471</v>
      </c>
      <c r="C22" s="40" t="s">
        <v>463</v>
      </c>
      <c r="D22" s="6" t="s">
        <v>48</v>
      </c>
      <c r="E22" s="39" t="s">
        <v>472</v>
      </c>
      <c r="F22" s="40">
        <v>3</v>
      </c>
      <c r="G22" s="40" t="s">
        <v>310</v>
      </c>
      <c r="H22" t="s">
        <v>461</v>
      </c>
    </row>
    <row r="23" spans="1:8" x14ac:dyDescent="0.25">
      <c r="A23" s="15" t="s">
        <v>269</v>
      </c>
      <c r="B23" s="40" t="s">
        <v>471</v>
      </c>
      <c r="C23" s="40" t="s">
        <v>464</v>
      </c>
      <c r="D23" s="14" t="s">
        <v>43</v>
      </c>
      <c r="E23" s="39" t="s">
        <v>472</v>
      </c>
      <c r="F23" s="40">
        <v>3</v>
      </c>
      <c r="G23" s="40" t="s">
        <v>310</v>
      </c>
      <c r="H23" t="s">
        <v>461</v>
      </c>
    </row>
    <row r="24" spans="1:8" x14ac:dyDescent="0.25">
      <c r="A24" s="15" t="s">
        <v>270</v>
      </c>
      <c r="B24" s="40" t="s">
        <v>471</v>
      </c>
      <c r="C24" s="40" t="s">
        <v>465</v>
      </c>
      <c r="D24" s="12" t="s">
        <v>38</v>
      </c>
      <c r="E24" s="39" t="s">
        <v>472</v>
      </c>
      <c r="F24" s="40">
        <v>3</v>
      </c>
      <c r="G24" s="40" t="s">
        <v>310</v>
      </c>
      <c r="H24" t="s">
        <v>461</v>
      </c>
    </row>
    <row r="25" spans="1:8" x14ac:dyDescent="0.25">
      <c r="A25" s="15" t="s">
        <v>271</v>
      </c>
      <c r="B25" s="40" t="s">
        <v>471</v>
      </c>
      <c r="C25" s="40" t="s">
        <v>466</v>
      </c>
      <c r="D25" s="14" t="s">
        <v>43</v>
      </c>
      <c r="E25" s="39" t="s">
        <v>472</v>
      </c>
      <c r="F25" s="40">
        <v>3</v>
      </c>
      <c r="G25" s="40" t="s">
        <v>310</v>
      </c>
      <c r="H25" t="s">
        <v>461</v>
      </c>
    </row>
    <row r="26" spans="1:8" x14ac:dyDescent="0.25">
      <c r="A26" s="15" t="s">
        <v>272</v>
      </c>
      <c r="B26" s="40" t="s">
        <v>473</v>
      </c>
      <c r="C26" s="40" t="s">
        <v>459</v>
      </c>
      <c r="D26" s="2" t="s">
        <v>12</v>
      </c>
      <c r="E26" s="39" t="s">
        <v>460</v>
      </c>
      <c r="F26" s="40" t="s">
        <v>474</v>
      </c>
      <c r="G26" s="40" t="s">
        <v>380</v>
      </c>
      <c r="H26" t="s">
        <v>461</v>
      </c>
    </row>
    <row r="27" spans="1:8" x14ac:dyDescent="0.25">
      <c r="A27" s="15" t="s">
        <v>273</v>
      </c>
      <c r="B27" s="40" t="s">
        <v>473</v>
      </c>
      <c r="C27" s="40" t="s">
        <v>462</v>
      </c>
      <c r="D27" s="3" t="s">
        <v>25</v>
      </c>
      <c r="E27" s="39" t="s">
        <v>460</v>
      </c>
      <c r="F27" s="40" t="s">
        <v>474</v>
      </c>
      <c r="G27" s="40" t="s">
        <v>380</v>
      </c>
      <c r="H27" t="s">
        <v>461</v>
      </c>
    </row>
    <row r="28" spans="1:8" x14ac:dyDescent="0.25">
      <c r="A28" s="15" t="s">
        <v>274</v>
      </c>
      <c r="B28" s="40" t="s">
        <v>473</v>
      </c>
      <c r="C28" s="40" t="s">
        <v>463</v>
      </c>
      <c r="D28" s="6" t="s">
        <v>48</v>
      </c>
      <c r="E28" s="39" t="s">
        <v>460</v>
      </c>
      <c r="F28" s="40" t="s">
        <v>474</v>
      </c>
      <c r="G28" s="40" t="s">
        <v>380</v>
      </c>
      <c r="H28" t="s">
        <v>461</v>
      </c>
    </row>
    <row r="29" spans="1:8" x14ac:dyDescent="0.25">
      <c r="A29" s="15" t="s">
        <v>275</v>
      </c>
      <c r="B29" s="40" t="s">
        <v>473</v>
      </c>
      <c r="C29" s="40" t="s">
        <v>464</v>
      </c>
      <c r="D29" s="14" t="s">
        <v>43</v>
      </c>
      <c r="E29" s="39" t="s">
        <v>460</v>
      </c>
      <c r="F29" s="40" t="s">
        <v>474</v>
      </c>
      <c r="G29" s="40" t="s">
        <v>380</v>
      </c>
      <c r="H29" t="s">
        <v>461</v>
      </c>
    </row>
    <row r="30" spans="1:8" x14ac:dyDescent="0.25">
      <c r="A30" s="15" t="s">
        <v>276</v>
      </c>
      <c r="B30" s="40" t="s">
        <v>473</v>
      </c>
      <c r="C30" s="40" t="s">
        <v>465</v>
      </c>
      <c r="D30" s="12" t="s">
        <v>38</v>
      </c>
      <c r="E30" s="39" t="s">
        <v>460</v>
      </c>
      <c r="F30" s="40" t="s">
        <v>474</v>
      </c>
      <c r="G30" s="40" t="s">
        <v>380</v>
      </c>
      <c r="H30" t="s">
        <v>461</v>
      </c>
    </row>
    <row r="31" spans="1:8" x14ac:dyDescent="0.25">
      <c r="A31" s="15" t="s">
        <v>277</v>
      </c>
      <c r="B31" s="40" t="s">
        <v>473</v>
      </c>
      <c r="C31" s="40" t="s">
        <v>466</v>
      </c>
      <c r="D31" s="14" t="s">
        <v>43</v>
      </c>
      <c r="E31" s="39" t="s">
        <v>460</v>
      </c>
      <c r="F31" s="40" t="s">
        <v>474</v>
      </c>
      <c r="G31" s="40" t="s">
        <v>380</v>
      </c>
      <c r="H31" t="s">
        <v>461</v>
      </c>
    </row>
    <row r="32" spans="1:8" x14ac:dyDescent="0.25">
      <c r="A32" s="15" t="s">
        <v>278</v>
      </c>
      <c r="B32" s="40" t="s">
        <v>475</v>
      </c>
      <c r="C32" s="40" t="s">
        <v>459</v>
      </c>
      <c r="D32" s="2" t="s">
        <v>12</v>
      </c>
      <c r="E32" s="39" t="s">
        <v>476</v>
      </c>
      <c r="F32" s="40">
        <v>5</v>
      </c>
      <c r="G32" s="40" t="s">
        <v>310</v>
      </c>
      <c r="H32" t="s">
        <v>461</v>
      </c>
    </row>
    <row r="33" spans="1:8" x14ac:dyDescent="0.25">
      <c r="A33" s="15" t="s">
        <v>279</v>
      </c>
      <c r="B33" s="40" t="s">
        <v>475</v>
      </c>
      <c r="C33" s="40" t="s">
        <v>462</v>
      </c>
      <c r="D33" s="3" t="s">
        <v>25</v>
      </c>
      <c r="E33" s="39" t="s">
        <v>476</v>
      </c>
      <c r="F33" s="40">
        <v>5</v>
      </c>
      <c r="G33" s="40" t="s">
        <v>310</v>
      </c>
      <c r="H33" t="s">
        <v>461</v>
      </c>
    </row>
    <row r="34" spans="1:8" x14ac:dyDescent="0.25">
      <c r="A34" s="15" t="s">
        <v>280</v>
      </c>
      <c r="B34" s="40" t="s">
        <v>475</v>
      </c>
      <c r="C34" s="40" t="s">
        <v>463</v>
      </c>
      <c r="D34" s="6" t="s">
        <v>48</v>
      </c>
      <c r="E34" s="39" t="s">
        <v>476</v>
      </c>
      <c r="F34" s="40">
        <v>5</v>
      </c>
      <c r="G34" s="40" t="s">
        <v>310</v>
      </c>
      <c r="H34" t="s">
        <v>461</v>
      </c>
    </row>
    <row r="35" spans="1:8" x14ac:dyDescent="0.25">
      <c r="A35" s="15" t="s">
        <v>281</v>
      </c>
      <c r="B35" s="40" t="s">
        <v>475</v>
      </c>
      <c r="C35" s="40" t="s">
        <v>464</v>
      </c>
      <c r="D35" s="14" t="s">
        <v>43</v>
      </c>
      <c r="E35" s="39" t="s">
        <v>476</v>
      </c>
      <c r="F35" s="40">
        <v>5</v>
      </c>
      <c r="G35" s="40" t="s">
        <v>310</v>
      </c>
      <c r="H35" t="s">
        <v>461</v>
      </c>
    </row>
    <row r="36" spans="1:8" x14ac:dyDescent="0.25">
      <c r="A36" s="15" t="s">
        <v>282</v>
      </c>
      <c r="B36" s="40" t="s">
        <v>475</v>
      </c>
      <c r="C36" s="40" t="s">
        <v>465</v>
      </c>
      <c r="D36" s="12" t="s">
        <v>38</v>
      </c>
      <c r="E36" s="39" t="s">
        <v>476</v>
      </c>
      <c r="F36" s="40">
        <v>5</v>
      </c>
      <c r="G36" s="40" t="s">
        <v>310</v>
      </c>
      <c r="H36" t="s">
        <v>461</v>
      </c>
    </row>
    <row r="37" spans="1:8" x14ac:dyDescent="0.25">
      <c r="A37" s="15" t="s">
        <v>283</v>
      </c>
      <c r="B37" s="40" t="s">
        <v>475</v>
      </c>
      <c r="C37" s="40" t="s">
        <v>466</v>
      </c>
      <c r="D37" s="14" t="s">
        <v>43</v>
      </c>
      <c r="E37" s="39" t="s">
        <v>476</v>
      </c>
      <c r="F37" s="40">
        <v>5</v>
      </c>
      <c r="G37" s="40" t="s">
        <v>310</v>
      </c>
      <c r="H37" t="s">
        <v>461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I8" sqref="I8"/>
    </sheetView>
  </sheetViews>
  <sheetFormatPr defaultRowHeight="15" x14ac:dyDescent="0.25"/>
  <cols>
    <col min="1" max="1" width="13.5703125" style="38" bestFit="1" customWidth="1"/>
    <col min="2" max="2" width="14.42578125" style="38" bestFit="1" customWidth="1"/>
    <col min="5" max="5" width="14.140625" style="38" bestFit="1" customWidth="1"/>
  </cols>
  <sheetData>
    <row r="1" spans="1:6" x14ac:dyDescent="0.25">
      <c r="A1" s="26" t="s">
        <v>0</v>
      </c>
      <c r="B1" s="26" t="s">
        <v>477</v>
      </c>
      <c r="C1" s="26" t="s">
        <v>478</v>
      </c>
      <c r="D1" s="26" t="s">
        <v>479</v>
      </c>
      <c r="E1" s="26" t="s">
        <v>480</v>
      </c>
      <c r="F1" s="26" t="s">
        <v>481</v>
      </c>
    </row>
    <row r="2" spans="1:6" x14ac:dyDescent="0.25">
      <c r="A2" t="s">
        <v>461</v>
      </c>
      <c r="B2" t="s">
        <v>313</v>
      </c>
      <c r="C2">
        <v>100</v>
      </c>
      <c r="D2">
        <v>500</v>
      </c>
      <c r="E2" s="40" t="s">
        <v>310</v>
      </c>
      <c r="F2" s="39">
        <v>100</v>
      </c>
    </row>
    <row r="3" spans="1:6" x14ac:dyDescent="0.25">
      <c r="A3" t="s">
        <v>461</v>
      </c>
      <c r="B3" t="s">
        <v>312</v>
      </c>
      <c r="C3" s="40">
        <v>15</v>
      </c>
      <c r="D3" s="40">
        <v>75</v>
      </c>
      <c r="E3" s="40" t="s">
        <v>310</v>
      </c>
      <c r="F3" s="39">
        <v>100</v>
      </c>
    </row>
    <row r="4" spans="1:6" x14ac:dyDescent="0.25">
      <c r="A4" t="s">
        <v>461</v>
      </c>
      <c r="B4" t="s">
        <v>314</v>
      </c>
      <c r="C4" s="40">
        <v>10</v>
      </c>
      <c r="D4" s="40">
        <v>50</v>
      </c>
      <c r="E4" s="40" t="s">
        <v>310</v>
      </c>
      <c r="F4" s="39">
        <v>100</v>
      </c>
    </row>
    <row r="5" spans="1:6" x14ac:dyDescent="0.25">
      <c r="A5" t="s">
        <v>461</v>
      </c>
      <c r="B5" t="s">
        <v>313</v>
      </c>
      <c r="C5" s="40">
        <v>2</v>
      </c>
      <c r="D5" s="40">
        <v>6</v>
      </c>
      <c r="E5" s="40" t="s">
        <v>380</v>
      </c>
      <c r="F5" s="39">
        <v>60</v>
      </c>
    </row>
    <row r="6" spans="1:6" x14ac:dyDescent="0.25">
      <c r="A6" t="s">
        <v>461</v>
      </c>
      <c r="B6" t="s">
        <v>312</v>
      </c>
      <c r="C6" s="40">
        <v>2</v>
      </c>
      <c r="D6" s="40">
        <v>6</v>
      </c>
      <c r="E6" s="40" t="s">
        <v>380</v>
      </c>
      <c r="F6" s="39">
        <v>60</v>
      </c>
    </row>
    <row r="7" spans="1:6" x14ac:dyDescent="0.25">
      <c r="A7" t="s">
        <v>461</v>
      </c>
      <c r="B7" t="s">
        <v>314</v>
      </c>
      <c r="C7" s="40">
        <v>2</v>
      </c>
      <c r="D7" s="40">
        <v>6</v>
      </c>
      <c r="E7" s="40" t="s">
        <v>380</v>
      </c>
      <c r="F7" s="39">
        <v>60</v>
      </c>
    </row>
    <row r="8" spans="1:6" x14ac:dyDescent="0.25">
      <c r="A8" t="s">
        <v>461</v>
      </c>
      <c r="B8" t="s">
        <v>482</v>
      </c>
      <c r="C8" s="40">
        <v>3</v>
      </c>
      <c r="D8" s="40">
        <v>8</v>
      </c>
      <c r="E8" s="40" t="s">
        <v>380</v>
      </c>
      <c r="F8" s="39">
        <v>75</v>
      </c>
    </row>
    <row r="9" spans="1:6" x14ac:dyDescent="0.25">
      <c r="A9" t="s">
        <v>461</v>
      </c>
      <c r="B9" t="s">
        <v>309</v>
      </c>
      <c r="C9" s="40">
        <v>2</v>
      </c>
      <c r="D9" s="40">
        <v>5</v>
      </c>
      <c r="E9" s="40" t="s">
        <v>380</v>
      </c>
      <c r="F9" s="39">
        <v>35</v>
      </c>
    </row>
    <row r="10" spans="1:6" x14ac:dyDescent="0.25">
      <c r="A10" t="s">
        <v>461</v>
      </c>
      <c r="B10" t="s">
        <v>382</v>
      </c>
      <c r="C10" s="40">
        <v>5</v>
      </c>
      <c r="D10" s="40">
        <v>12</v>
      </c>
      <c r="E10" s="40" t="s">
        <v>380</v>
      </c>
      <c r="F10" s="39">
        <v>30</v>
      </c>
    </row>
    <row r="11" spans="1:6" x14ac:dyDescent="0.25">
      <c r="A11" t="s">
        <v>461</v>
      </c>
      <c r="B11" t="s">
        <v>483</v>
      </c>
      <c r="C11" s="40">
        <v>30</v>
      </c>
      <c r="D11" s="40">
        <v>90</v>
      </c>
      <c r="E11" s="40" t="s">
        <v>310</v>
      </c>
      <c r="F11" s="39">
        <v>25</v>
      </c>
    </row>
    <row r="12" spans="1:6" x14ac:dyDescent="0.25">
      <c r="A12" t="s">
        <v>461</v>
      </c>
      <c r="B12" t="s">
        <v>389</v>
      </c>
      <c r="C12" s="40">
        <v>1</v>
      </c>
      <c r="D12" s="40">
        <v>4</v>
      </c>
      <c r="E12" s="40" t="s">
        <v>310</v>
      </c>
      <c r="F12" s="39">
        <v>25</v>
      </c>
    </row>
    <row r="13" spans="1:6" x14ac:dyDescent="0.25">
      <c r="A13" t="s">
        <v>461</v>
      </c>
      <c r="B13" t="s">
        <v>311</v>
      </c>
      <c r="C13" s="40">
        <v>2</v>
      </c>
      <c r="D13" s="40">
        <v>5</v>
      </c>
      <c r="E13" s="40" t="s">
        <v>380</v>
      </c>
      <c r="F13" s="39">
        <v>20</v>
      </c>
    </row>
    <row r="14" spans="1:6" x14ac:dyDescent="0.25">
      <c r="A14" t="s">
        <v>484</v>
      </c>
      <c r="B14" t="s">
        <v>313</v>
      </c>
      <c r="C14" s="40">
        <v>200</v>
      </c>
      <c r="D14" s="40">
        <v>800</v>
      </c>
      <c r="E14" s="40" t="s">
        <v>310</v>
      </c>
      <c r="F14" s="39">
        <v>100</v>
      </c>
    </row>
    <row r="15" spans="1:6" x14ac:dyDescent="0.25">
      <c r="A15" t="s">
        <v>484</v>
      </c>
      <c r="B15" t="s">
        <v>314</v>
      </c>
      <c r="C15" s="40">
        <v>20</v>
      </c>
      <c r="D15" s="40">
        <v>80</v>
      </c>
      <c r="E15" s="40" t="s">
        <v>310</v>
      </c>
      <c r="F15" s="39">
        <v>100</v>
      </c>
    </row>
    <row r="16" spans="1:6" x14ac:dyDescent="0.25">
      <c r="A16" t="s">
        <v>484</v>
      </c>
      <c r="B16" t="s">
        <v>313</v>
      </c>
      <c r="C16" s="40">
        <v>3</v>
      </c>
      <c r="D16" s="40">
        <v>8</v>
      </c>
      <c r="E16" s="40" t="s">
        <v>380</v>
      </c>
      <c r="F16" s="39">
        <v>70</v>
      </c>
    </row>
    <row r="17" spans="1:6" x14ac:dyDescent="0.25">
      <c r="A17" t="s">
        <v>484</v>
      </c>
      <c r="B17" t="s">
        <v>314</v>
      </c>
      <c r="C17" s="40">
        <v>3</v>
      </c>
      <c r="D17" s="40">
        <v>8</v>
      </c>
      <c r="E17" s="40" t="s">
        <v>380</v>
      </c>
      <c r="F17" s="39">
        <v>70</v>
      </c>
    </row>
    <row r="18" spans="1:6" x14ac:dyDescent="0.25">
      <c r="A18" t="s">
        <v>484</v>
      </c>
      <c r="B18" t="s">
        <v>311</v>
      </c>
      <c r="C18" s="40">
        <v>2</v>
      </c>
      <c r="D18" s="40">
        <v>5</v>
      </c>
      <c r="E18" s="40" t="s">
        <v>380</v>
      </c>
      <c r="F18" s="39">
        <v>40</v>
      </c>
    </row>
    <row r="19" spans="1:6" x14ac:dyDescent="0.25">
      <c r="A19" t="s">
        <v>484</v>
      </c>
      <c r="B19" t="s">
        <v>389</v>
      </c>
      <c r="C19" s="40">
        <v>1</v>
      </c>
      <c r="D19" s="40">
        <v>3</v>
      </c>
      <c r="E19" s="40" t="s">
        <v>310</v>
      </c>
      <c r="F19" s="39">
        <v>20</v>
      </c>
    </row>
    <row r="20" spans="1:6" x14ac:dyDescent="0.25">
      <c r="A20" t="s">
        <v>485</v>
      </c>
      <c r="B20" t="s">
        <v>312</v>
      </c>
      <c r="C20" s="40">
        <v>25</v>
      </c>
      <c r="D20" s="40">
        <v>100</v>
      </c>
      <c r="E20" s="40" t="s">
        <v>310</v>
      </c>
      <c r="F20" s="39">
        <v>100</v>
      </c>
    </row>
    <row r="21" spans="1:6" x14ac:dyDescent="0.25">
      <c r="A21" t="s">
        <v>485</v>
      </c>
      <c r="B21" t="s">
        <v>312</v>
      </c>
      <c r="C21" s="40">
        <v>3</v>
      </c>
      <c r="D21" s="40">
        <v>7</v>
      </c>
      <c r="E21" s="40" t="s">
        <v>380</v>
      </c>
      <c r="F21" s="39">
        <v>80</v>
      </c>
    </row>
    <row r="22" spans="1:6" x14ac:dyDescent="0.25">
      <c r="A22" t="s">
        <v>485</v>
      </c>
      <c r="B22" t="s">
        <v>483</v>
      </c>
      <c r="C22" s="40">
        <v>50</v>
      </c>
      <c r="D22" s="40">
        <v>150</v>
      </c>
      <c r="E22" s="40" t="s">
        <v>310</v>
      </c>
      <c r="F22" s="39">
        <v>75</v>
      </c>
    </row>
    <row r="23" spans="1:6" x14ac:dyDescent="0.25">
      <c r="A23" t="s">
        <v>485</v>
      </c>
      <c r="B23" t="s">
        <v>482</v>
      </c>
      <c r="C23" s="40">
        <v>4</v>
      </c>
      <c r="D23" s="40">
        <v>10</v>
      </c>
      <c r="E23" s="40" t="s">
        <v>380</v>
      </c>
      <c r="F23" s="39">
        <v>40</v>
      </c>
    </row>
    <row r="24" spans="1:6" x14ac:dyDescent="0.25">
      <c r="A24" t="s">
        <v>485</v>
      </c>
      <c r="B24" t="s">
        <v>309</v>
      </c>
      <c r="C24" s="40">
        <v>3</v>
      </c>
      <c r="D24" s="40">
        <v>7</v>
      </c>
      <c r="E24" s="40" t="s">
        <v>380</v>
      </c>
      <c r="F24" s="39">
        <v>50</v>
      </c>
    </row>
    <row r="25" spans="1:6" x14ac:dyDescent="0.25">
      <c r="A25" t="s">
        <v>485</v>
      </c>
      <c r="B25" t="s">
        <v>382</v>
      </c>
      <c r="C25" s="40">
        <v>8</v>
      </c>
      <c r="D25" s="40">
        <v>18</v>
      </c>
      <c r="E25" s="40" t="s">
        <v>380</v>
      </c>
      <c r="F25" s="39">
        <v>45</v>
      </c>
    </row>
    <row r="26" spans="1:6" x14ac:dyDescent="0.25">
      <c r="A26" t="s">
        <v>485</v>
      </c>
      <c r="B26" t="s">
        <v>389</v>
      </c>
      <c r="C26" s="40">
        <v>2</v>
      </c>
      <c r="D26" s="40">
        <v>5</v>
      </c>
      <c r="E26" s="40" t="s">
        <v>310</v>
      </c>
      <c r="F26" s="39">
        <v>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7" sqref="F7"/>
    </sheetView>
  </sheetViews>
  <sheetFormatPr defaultRowHeight="15" x14ac:dyDescent="0.25"/>
  <cols>
    <col min="1" max="1" width="8.5703125" style="38" bestFit="1" customWidth="1"/>
    <col min="2" max="2" width="15" style="38" bestFit="1" customWidth="1"/>
    <col min="3" max="3" width="16" style="38" bestFit="1" customWidth="1"/>
    <col min="4" max="4" width="16.28515625" style="38" bestFit="1" customWidth="1"/>
    <col min="5" max="5" width="12.5703125" style="38" bestFit="1" customWidth="1"/>
    <col min="6" max="6" width="14.140625" style="38" bestFit="1" customWidth="1"/>
  </cols>
  <sheetData>
    <row r="1" spans="1:6" x14ac:dyDescent="0.25">
      <c r="A1" s="16" t="s">
        <v>0</v>
      </c>
      <c r="B1" s="16" t="s">
        <v>1</v>
      </c>
      <c r="C1" s="16" t="s">
        <v>486</v>
      </c>
      <c r="D1" s="16" t="s">
        <v>487</v>
      </c>
      <c r="E1" s="16" t="s">
        <v>488</v>
      </c>
      <c r="F1" s="16" t="s">
        <v>480</v>
      </c>
    </row>
    <row r="2" spans="1:6" x14ac:dyDescent="0.25">
      <c r="A2" s="40" t="s">
        <v>459</v>
      </c>
      <c r="B2" t="s">
        <v>242</v>
      </c>
      <c r="C2" s="40">
        <v>6</v>
      </c>
      <c r="D2" s="40" t="s">
        <v>470</v>
      </c>
      <c r="E2" s="40">
        <v>15</v>
      </c>
      <c r="F2" s="40" t="s">
        <v>380</v>
      </c>
    </row>
    <row r="3" spans="1:6" x14ac:dyDescent="0.25">
      <c r="A3" s="40" t="s">
        <v>462</v>
      </c>
      <c r="B3" t="s">
        <v>245</v>
      </c>
      <c r="C3" s="40">
        <v>6</v>
      </c>
      <c r="D3" s="40" t="s">
        <v>470</v>
      </c>
      <c r="E3" s="40">
        <v>15</v>
      </c>
      <c r="F3" s="40" t="s">
        <v>380</v>
      </c>
    </row>
    <row r="4" spans="1:6" x14ac:dyDescent="0.25">
      <c r="A4" s="40" t="s">
        <v>463</v>
      </c>
      <c r="B4" t="s">
        <v>247</v>
      </c>
      <c r="C4" s="40">
        <v>6</v>
      </c>
      <c r="D4" s="40" t="s">
        <v>460</v>
      </c>
      <c r="E4" s="40">
        <v>20</v>
      </c>
      <c r="F4" s="40" t="s">
        <v>380</v>
      </c>
    </row>
    <row r="5" spans="1:6" x14ac:dyDescent="0.25">
      <c r="A5" s="40" t="s">
        <v>464</v>
      </c>
      <c r="B5" t="s">
        <v>249</v>
      </c>
      <c r="C5" s="40">
        <v>6</v>
      </c>
      <c r="D5" s="40" t="s">
        <v>470</v>
      </c>
      <c r="E5" s="40">
        <v>15</v>
      </c>
      <c r="F5" s="40" t="s">
        <v>380</v>
      </c>
    </row>
    <row r="6" spans="1:6" x14ac:dyDescent="0.25">
      <c r="A6" s="40" t="s">
        <v>465</v>
      </c>
      <c r="B6" t="s">
        <v>251</v>
      </c>
      <c r="C6" s="40">
        <v>6</v>
      </c>
      <c r="D6" s="40" t="s">
        <v>470</v>
      </c>
      <c r="E6" s="40">
        <v>15</v>
      </c>
      <c r="F6" s="40" t="s">
        <v>380</v>
      </c>
    </row>
    <row r="7" spans="1:6" x14ac:dyDescent="0.25">
      <c r="A7" s="40" t="s">
        <v>466</v>
      </c>
      <c r="B7" t="s">
        <v>253</v>
      </c>
      <c r="C7" s="40">
        <v>6</v>
      </c>
      <c r="D7" s="40" t="s">
        <v>470</v>
      </c>
      <c r="E7" s="40">
        <v>15</v>
      </c>
      <c r="F7" s="40" t="s">
        <v>380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zoomScale="130" zoomScaleNormal="130" workbookViewId="0">
      <selection activeCell="J9" sqref="J9"/>
    </sheetView>
  </sheetViews>
  <sheetFormatPr defaultRowHeight="15" x14ac:dyDescent="0.25"/>
  <cols>
    <col min="1" max="1" width="21.140625" style="38" customWidth="1"/>
    <col min="2" max="2" width="21.140625" style="38" bestFit="1" customWidth="1"/>
    <col min="3" max="3" width="19" style="38" bestFit="1" customWidth="1"/>
    <col min="4" max="4" width="16.5703125" style="38" customWidth="1"/>
    <col min="5" max="6" width="16.5703125" style="39" customWidth="1"/>
    <col min="7" max="7" width="15.7109375" style="39" customWidth="1"/>
    <col min="8" max="8" width="14.5703125" style="39" customWidth="1"/>
    <col min="9" max="9" width="18.28515625" style="39" customWidth="1"/>
  </cols>
  <sheetData>
    <row r="1" spans="1:9" x14ac:dyDescent="0.25">
      <c r="A1" s="16" t="s">
        <v>0</v>
      </c>
      <c r="B1" s="16" t="s">
        <v>1</v>
      </c>
      <c r="C1" s="16" t="s">
        <v>489</v>
      </c>
      <c r="D1" s="16" t="s">
        <v>316</v>
      </c>
      <c r="E1" s="16" t="s">
        <v>490</v>
      </c>
      <c r="F1" s="16" t="s">
        <v>491</v>
      </c>
      <c r="G1" s="16" t="s">
        <v>492</v>
      </c>
      <c r="H1" s="16" t="s">
        <v>493</v>
      </c>
      <c r="I1" s="16" t="s">
        <v>494</v>
      </c>
    </row>
    <row r="2" spans="1:9" x14ac:dyDescent="0.25">
      <c r="A2" t="s">
        <v>495</v>
      </c>
      <c r="B2" t="s">
        <v>496</v>
      </c>
      <c r="C2" t="s">
        <v>497</v>
      </c>
      <c r="D2" s="39" t="s">
        <v>498</v>
      </c>
      <c r="E2" s="39" t="s">
        <v>499</v>
      </c>
      <c r="F2" s="39" t="s">
        <v>499</v>
      </c>
      <c r="G2" s="39">
        <v>3</v>
      </c>
      <c r="H2" s="39">
        <v>5</v>
      </c>
      <c r="I2" s="39">
        <v>1</v>
      </c>
    </row>
    <row r="3" spans="1:9" x14ac:dyDescent="0.25">
      <c r="A3" t="s">
        <v>500</v>
      </c>
      <c r="B3" t="s">
        <v>501</v>
      </c>
      <c r="C3" t="s">
        <v>502</v>
      </c>
      <c r="D3" s="39" t="s">
        <v>503</v>
      </c>
      <c r="E3" s="39" t="s">
        <v>499</v>
      </c>
      <c r="F3" s="39" t="s">
        <v>499</v>
      </c>
      <c r="G3" s="39">
        <v>1</v>
      </c>
      <c r="H3" s="39">
        <v>100</v>
      </c>
      <c r="I3" s="39">
        <v>1</v>
      </c>
    </row>
    <row r="4" spans="1:9" x14ac:dyDescent="0.25">
      <c r="A4" t="s">
        <v>504</v>
      </c>
      <c r="B4" t="s">
        <v>505</v>
      </c>
      <c r="C4" t="s">
        <v>506</v>
      </c>
      <c r="D4" s="39" t="s">
        <v>507</v>
      </c>
      <c r="E4" s="39" t="s">
        <v>312</v>
      </c>
      <c r="F4" s="39" t="s">
        <v>310</v>
      </c>
      <c r="G4" s="39">
        <v>3</v>
      </c>
      <c r="H4" s="39">
        <v>600</v>
      </c>
      <c r="I4" s="39">
        <v>1</v>
      </c>
    </row>
    <row r="5" spans="1:9" x14ac:dyDescent="0.25">
      <c r="A5" t="s">
        <v>508</v>
      </c>
      <c r="B5" t="s">
        <v>509</v>
      </c>
      <c r="C5" t="s">
        <v>510</v>
      </c>
      <c r="D5" s="39" t="s">
        <v>507</v>
      </c>
      <c r="E5" s="39" t="s">
        <v>314</v>
      </c>
      <c r="F5" s="39" t="s">
        <v>310</v>
      </c>
      <c r="G5" s="39">
        <v>2</v>
      </c>
      <c r="H5" s="39">
        <v>200</v>
      </c>
      <c r="I5" s="39">
        <v>1</v>
      </c>
    </row>
    <row r="6" spans="1:9" x14ac:dyDescent="0.25">
      <c r="A6" t="s">
        <v>511</v>
      </c>
      <c r="B6" t="s">
        <v>512</v>
      </c>
      <c r="C6" t="s">
        <v>513</v>
      </c>
      <c r="D6" s="39" t="s">
        <v>507</v>
      </c>
      <c r="E6" s="39" t="s">
        <v>389</v>
      </c>
      <c r="F6" s="39" t="s">
        <v>380</v>
      </c>
      <c r="G6" s="39">
        <v>2</v>
      </c>
      <c r="H6" s="39">
        <v>20</v>
      </c>
      <c r="I6" s="39">
        <v>1</v>
      </c>
    </row>
    <row r="7" spans="1:9" x14ac:dyDescent="0.25">
      <c r="A7" t="s">
        <v>514</v>
      </c>
      <c r="B7" t="s">
        <v>515</v>
      </c>
      <c r="C7" t="s">
        <v>516</v>
      </c>
      <c r="D7" s="39" t="s">
        <v>517</v>
      </c>
      <c r="E7" s="39" t="s">
        <v>389</v>
      </c>
      <c r="F7" s="39" t="s">
        <v>380</v>
      </c>
      <c r="G7" s="39">
        <v>2</v>
      </c>
      <c r="H7" s="39">
        <v>-20</v>
      </c>
      <c r="I7" s="39">
        <v>1</v>
      </c>
    </row>
    <row r="8" spans="1:9" x14ac:dyDescent="0.25">
      <c r="A8" t="s">
        <v>518</v>
      </c>
      <c r="B8" t="s">
        <v>519</v>
      </c>
      <c r="C8" t="s">
        <v>520</v>
      </c>
      <c r="D8" s="39" t="s">
        <v>521</v>
      </c>
      <c r="E8" s="39" t="s">
        <v>499</v>
      </c>
      <c r="F8" s="39" t="s">
        <v>499</v>
      </c>
      <c r="G8" s="39">
        <v>1</v>
      </c>
      <c r="H8" s="39">
        <v>0</v>
      </c>
      <c r="I8" s="39">
        <v>1</v>
      </c>
    </row>
    <row r="9" spans="1:9" x14ac:dyDescent="0.25">
      <c r="A9" t="s">
        <v>522</v>
      </c>
      <c r="B9" t="s">
        <v>523</v>
      </c>
      <c r="C9" t="s">
        <v>524</v>
      </c>
      <c r="D9" s="39" t="s">
        <v>525</v>
      </c>
      <c r="E9" s="39" t="s">
        <v>499</v>
      </c>
      <c r="F9" s="39" t="s">
        <v>499</v>
      </c>
      <c r="G9" s="39">
        <v>2</v>
      </c>
      <c r="H9" s="39">
        <v>100</v>
      </c>
      <c r="I9" s="39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opLeftCell="A14" zoomScale="130" zoomScaleNormal="130" workbookViewId="0">
      <selection activeCell="A26" sqref="A26"/>
    </sheetView>
  </sheetViews>
  <sheetFormatPr defaultRowHeight="15" x14ac:dyDescent="0.25"/>
  <cols>
    <col min="1" max="1" width="23.28515625" style="38" customWidth="1"/>
    <col min="2" max="2" width="31.28515625" style="38" bestFit="1" customWidth="1"/>
    <col min="4" max="5" width="8.42578125" style="38" bestFit="1" customWidth="1"/>
    <col min="6" max="6" width="21.7109375" style="38" bestFit="1" customWidth="1"/>
    <col min="7" max="7" width="22.28515625" style="38" bestFit="1" customWidth="1"/>
    <col min="8" max="8" width="18.5703125" style="38" customWidth="1"/>
    <col min="9" max="9" width="16" style="38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316</v>
      </c>
      <c r="E1" s="16" t="s">
        <v>526</v>
      </c>
      <c r="F1" s="16" t="s">
        <v>527</v>
      </c>
      <c r="G1" s="16" t="s">
        <v>528</v>
      </c>
      <c r="H1" s="16" t="s">
        <v>529</v>
      </c>
    </row>
    <row r="2" spans="1:8" x14ac:dyDescent="0.25">
      <c r="A2" t="s">
        <v>207</v>
      </c>
      <c r="B2" t="s">
        <v>208</v>
      </c>
      <c r="C2" s="2" t="s">
        <v>530</v>
      </c>
      <c r="D2" s="8" t="s">
        <v>320</v>
      </c>
      <c r="E2" s="26" t="s">
        <v>531</v>
      </c>
      <c r="F2" s="40" t="s">
        <v>532</v>
      </c>
      <c r="G2" s="40" t="s">
        <v>533</v>
      </c>
      <c r="H2" s="40" t="s">
        <v>534</v>
      </c>
    </row>
    <row r="3" spans="1:8" x14ac:dyDescent="0.25">
      <c r="A3" t="s">
        <v>211</v>
      </c>
      <c r="B3" t="s">
        <v>212</v>
      </c>
      <c r="C3" s="17" t="s">
        <v>535</v>
      </c>
      <c r="D3" s="7" t="s">
        <v>325</v>
      </c>
      <c r="E3" s="26" t="s">
        <v>531</v>
      </c>
      <c r="F3" s="40" t="s">
        <v>536</v>
      </c>
      <c r="G3" s="40" t="s">
        <v>537</v>
      </c>
      <c r="H3" s="40" t="s">
        <v>538</v>
      </c>
    </row>
    <row r="4" spans="1:8" x14ac:dyDescent="0.25">
      <c r="A4" t="s">
        <v>213</v>
      </c>
      <c r="B4" t="s">
        <v>214</v>
      </c>
      <c r="C4" s="3" t="s">
        <v>539</v>
      </c>
      <c r="D4" s="43" t="s">
        <v>327</v>
      </c>
      <c r="E4" s="26" t="s">
        <v>531</v>
      </c>
      <c r="F4" s="40" t="s">
        <v>540</v>
      </c>
      <c r="G4" s="40" t="s">
        <v>541</v>
      </c>
      <c r="H4" s="40" t="s">
        <v>542</v>
      </c>
    </row>
    <row r="5" spans="1:8" x14ac:dyDescent="0.25">
      <c r="A5" t="s">
        <v>215</v>
      </c>
      <c r="B5" t="s">
        <v>216</v>
      </c>
      <c r="C5" s="3" t="s">
        <v>539</v>
      </c>
      <c r="D5" s="43" t="s">
        <v>327</v>
      </c>
      <c r="E5" s="26" t="s">
        <v>531</v>
      </c>
      <c r="F5" s="40" t="s">
        <v>543</v>
      </c>
      <c r="G5" s="40" t="s">
        <v>544</v>
      </c>
      <c r="H5" s="40" t="s">
        <v>545</v>
      </c>
    </row>
    <row r="6" spans="1:8" x14ac:dyDescent="0.25">
      <c r="A6" s="23" t="s">
        <v>217</v>
      </c>
      <c r="B6" s="23" t="s">
        <v>218</v>
      </c>
      <c r="C6" s="24" t="s">
        <v>539</v>
      </c>
      <c r="D6" s="35" t="s">
        <v>338</v>
      </c>
      <c r="E6" s="26" t="s">
        <v>531</v>
      </c>
      <c r="F6" s="40" t="s">
        <v>546</v>
      </c>
      <c r="G6" s="40" t="s">
        <v>547</v>
      </c>
      <c r="H6" s="40" t="s">
        <v>548</v>
      </c>
    </row>
    <row r="7" spans="1:8" x14ac:dyDescent="0.25">
      <c r="A7" t="s">
        <v>219</v>
      </c>
      <c r="B7" t="s">
        <v>220</v>
      </c>
      <c r="C7" s="14" t="s">
        <v>549</v>
      </c>
      <c r="D7" s="25" t="s">
        <v>323</v>
      </c>
      <c r="E7" s="26" t="s">
        <v>531</v>
      </c>
      <c r="F7" s="40" t="s">
        <v>550</v>
      </c>
      <c r="G7" s="40" t="s">
        <v>551</v>
      </c>
      <c r="H7" s="40" t="s">
        <v>552</v>
      </c>
    </row>
    <row r="8" spans="1:8" x14ac:dyDescent="0.25">
      <c r="A8" t="s">
        <v>221</v>
      </c>
      <c r="B8" t="s">
        <v>222</v>
      </c>
      <c r="C8" s="17" t="s">
        <v>535</v>
      </c>
      <c r="D8" s="7" t="s">
        <v>553</v>
      </c>
      <c r="E8" s="26" t="s">
        <v>531</v>
      </c>
      <c r="F8" s="40" t="s">
        <v>554</v>
      </c>
      <c r="G8" s="40" t="s">
        <v>555</v>
      </c>
      <c r="H8" s="40" t="s">
        <v>556</v>
      </c>
    </row>
    <row r="9" spans="1:8" x14ac:dyDescent="0.25">
      <c r="A9" t="s">
        <v>223</v>
      </c>
      <c r="B9" t="s">
        <v>224</v>
      </c>
      <c r="C9" s="14" t="s">
        <v>549</v>
      </c>
      <c r="D9" s="43" t="s">
        <v>327</v>
      </c>
      <c r="E9" s="26" t="s">
        <v>531</v>
      </c>
      <c r="F9" s="40" t="s">
        <v>557</v>
      </c>
      <c r="G9" s="40" t="s">
        <v>558</v>
      </c>
      <c r="H9" s="40" t="s">
        <v>559</v>
      </c>
    </row>
    <row r="10" spans="1:8" x14ac:dyDescent="0.25">
      <c r="A10" t="s">
        <v>225</v>
      </c>
      <c r="B10" t="s">
        <v>226</v>
      </c>
      <c r="C10" s="2" t="s">
        <v>530</v>
      </c>
      <c r="D10" s="8" t="s">
        <v>320</v>
      </c>
      <c r="E10" s="26" t="s">
        <v>531</v>
      </c>
      <c r="F10" s="40" t="s">
        <v>560</v>
      </c>
      <c r="G10" s="40" t="s">
        <v>561</v>
      </c>
      <c r="H10" s="40" t="s">
        <v>562</v>
      </c>
    </row>
    <row r="11" spans="1:8" x14ac:dyDescent="0.25">
      <c r="A11" s="23" t="s">
        <v>563</v>
      </c>
      <c r="B11" s="23" t="s">
        <v>564</v>
      </c>
      <c r="C11" s="24" t="s">
        <v>530</v>
      </c>
      <c r="D11" s="25" t="s">
        <v>325</v>
      </c>
      <c r="E11" s="26" t="s">
        <v>531</v>
      </c>
      <c r="F11" s="40" t="s">
        <v>565</v>
      </c>
      <c r="G11" s="40" t="s">
        <v>566</v>
      </c>
      <c r="H11" s="40" t="s">
        <v>567</v>
      </c>
    </row>
    <row r="12" spans="1:8" x14ac:dyDescent="0.25">
      <c r="A12" s="11" t="s">
        <v>568</v>
      </c>
      <c r="B12" t="s">
        <v>230</v>
      </c>
      <c r="C12" s="17" t="s">
        <v>535</v>
      </c>
      <c r="D12" s="8" t="s">
        <v>320</v>
      </c>
      <c r="E12" s="7" t="s">
        <v>569</v>
      </c>
      <c r="F12" s="40" t="s">
        <v>570</v>
      </c>
      <c r="G12" s="40" t="s">
        <v>571</v>
      </c>
      <c r="H12" s="40" t="s">
        <v>571</v>
      </c>
    </row>
    <row r="13" spans="1:8" x14ac:dyDescent="0.25">
      <c r="A13" s="22" t="s">
        <v>231</v>
      </c>
      <c r="B13" t="s">
        <v>232</v>
      </c>
      <c r="C13" s="2" t="s">
        <v>530</v>
      </c>
      <c r="D13" s="25" t="s">
        <v>323</v>
      </c>
      <c r="E13" s="7" t="s">
        <v>569</v>
      </c>
      <c r="F13" s="40" t="s">
        <v>572</v>
      </c>
      <c r="G13" s="40" t="s">
        <v>573</v>
      </c>
      <c r="H13" s="40" t="s">
        <v>574</v>
      </c>
    </row>
    <row r="14" spans="1:8" x14ac:dyDescent="0.25">
      <c r="A14" s="22" t="s">
        <v>233</v>
      </c>
      <c r="B14" t="s">
        <v>234</v>
      </c>
      <c r="C14" s="14" t="s">
        <v>549</v>
      </c>
      <c r="D14" s="25" t="s">
        <v>323</v>
      </c>
      <c r="E14" s="7" t="s">
        <v>569</v>
      </c>
      <c r="F14" s="40" t="s">
        <v>575</v>
      </c>
      <c r="G14" s="40" t="s">
        <v>576</v>
      </c>
      <c r="H14" s="40" t="s">
        <v>577</v>
      </c>
    </row>
    <row r="15" spans="1:8" x14ac:dyDescent="0.25">
      <c r="A15" s="22" t="s">
        <v>235</v>
      </c>
      <c r="B15" t="s">
        <v>236</v>
      </c>
      <c r="C15" s="14" t="s">
        <v>549</v>
      </c>
      <c r="D15" s="25" t="s">
        <v>323</v>
      </c>
      <c r="E15" s="7" t="s">
        <v>569</v>
      </c>
      <c r="F15" s="40" t="s">
        <v>578</v>
      </c>
      <c r="G15" s="40" t="s">
        <v>579</v>
      </c>
      <c r="H15" s="40" t="s">
        <v>580</v>
      </c>
    </row>
    <row r="16" spans="1:8" x14ac:dyDescent="0.25">
      <c r="A16" s="22" t="s">
        <v>237</v>
      </c>
      <c r="B16" t="s">
        <v>238</v>
      </c>
      <c r="C16" s="2" t="s">
        <v>530</v>
      </c>
      <c r="D16" s="8" t="s">
        <v>320</v>
      </c>
      <c r="E16" s="7" t="s">
        <v>569</v>
      </c>
      <c r="F16" s="40" t="s">
        <v>581</v>
      </c>
      <c r="G16" s="40" t="s">
        <v>582</v>
      </c>
      <c r="H16" s="40" t="s">
        <v>583</v>
      </c>
    </row>
    <row r="17" spans="1:8" x14ac:dyDescent="0.25">
      <c r="A17" s="22" t="s">
        <v>239</v>
      </c>
      <c r="B17" t="s">
        <v>240</v>
      </c>
      <c r="C17" s="14" t="s">
        <v>549</v>
      </c>
      <c r="D17" s="8" t="s">
        <v>320</v>
      </c>
      <c r="E17" s="7" t="s">
        <v>569</v>
      </c>
      <c r="F17" s="40" t="s">
        <v>584</v>
      </c>
      <c r="G17" s="40" t="s">
        <v>585</v>
      </c>
      <c r="H17" s="40" t="s">
        <v>586</v>
      </c>
    </row>
    <row r="18" spans="1:8" x14ac:dyDescent="0.25">
      <c r="A18" s="11" t="s">
        <v>587</v>
      </c>
      <c r="B18" t="s">
        <v>588</v>
      </c>
      <c r="C18" s="17" t="s">
        <v>535</v>
      </c>
      <c r="D18" s="8" t="s">
        <v>320</v>
      </c>
      <c r="E18" s="40" t="s">
        <v>589</v>
      </c>
      <c r="F18" s="40" t="s">
        <v>590</v>
      </c>
      <c r="G18" s="40" t="s">
        <v>571</v>
      </c>
      <c r="H18" s="40" t="s">
        <v>571</v>
      </c>
    </row>
    <row r="19" spans="1:8" x14ac:dyDescent="0.25">
      <c r="A19" s="11" t="s">
        <v>591</v>
      </c>
      <c r="B19" t="s">
        <v>592</v>
      </c>
      <c r="C19" s="17" t="s">
        <v>535</v>
      </c>
      <c r="D19" s="8" t="s">
        <v>320</v>
      </c>
      <c r="E19" s="40" t="s">
        <v>589</v>
      </c>
      <c r="F19" s="40" t="s">
        <v>593</v>
      </c>
      <c r="G19" s="40" t="s">
        <v>571</v>
      </c>
      <c r="H19" s="40" t="s">
        <v>571</v>
      </c>
    </row>
    <row r="20" spans="1:8" x14ac:dyDescent="0.25">
      <c r="A20" s="11" t="s">
        <v>594</v>
      </c>
      <c r="B20" t="s">
        <v>595</v>
      </c>
      <c r="C20" s="17" t="s">
        <v>535</v>
      </c>
      <c r="D20" s="8" t="s">
        <v>320</v>
      </c>
      <c r="E20" s="40" t="s">
        <v>589</v>
      </c>
      <c r="F20" s="40" t="s">
        <v>596</v>
      </c>
      <c r="G20" s="40" t="s">
        <v>571</v>
      </c>
      <c r="H20" s="40" t="s">
        <v>571</v>
      </c>
    </row>
    <row r="21" spans="1:8" x14ac:dyDescent="0.25">
      <c r="A21" s="11" t="s">
        <v>597</v>
      </c>
      <c r="B21" t="s">
        <v>598</v>
      </c>
      <c r="C21" s="17" t="s">
        <v>535</v>
      </c>
      <c r="D21" s="8" t="s">
        <v>320</v>
      </c>
      <c r="E21" s="40" t="s">
        <v>589</v>
      </c>
      <c r="F21" s="40" t="s">
        <v>599</v>
      </c>
      <c r="G21" s="40" t="s">
        <v>571</v>
      </c>
      <c r="H21" s="40" t="s">
        <v>571</v>
      </c>
    </row>
    <row r="22" spans="1:8" x14ac:dyDescent="0.25">
      <c r="A22" s="11" t="s">
        <v>600</v>
      </c>
      <c r="B22" t="s">
        <v>601</v>
      </c>
      <c r="C22" s="17" t="s">
        <v>535</v>
      </c>
      <c r="D22" s="8" t="s">
        <v>320</v>
      </c>
      <c r="E22" s="40" t="s">
        <v>589</v>
      </c>
      <c r="F22" s="40" t="s">
        <v>602</v>
      </c>
      <c r="G22" s="40" t="s">
        <v>571</v>
      </c>
      <c r="H22" s="40" t="s">
        <v>571</v>
      </c>
    </row>
    <row r="23" spans="1:8" x14ac:dyDescent="0.25">
      <c r="A23" s="11" t="s">
        <v>603</v>
      </c>
      <c r="B23" t="s">
        <v>604</v>
      </c>
      <c r="C23" s="17" t="s">
        <v>535</v>
      </c>
      <c r="D23" s="8" t="s">
        <v>320</v>
      </c>
      <c r="E23" s="40" t="s">
        <v>589</v>
      </c>
      <c r="F23" s="40" t="s">
        <v>605</v>
      </c>
      <c r="G23" s="40" t="s">
        <v>571</v>
      </c>
      <c r="H23" s="40" t="s">
        <v>571</v>
      </c>
    </row>
    <row r="24" spans="1:8" x14ac:dyDescent="0.25">
      <c r="A24" s="11" t="s">
        <v>606</v>
      </c>
      <c r="B24" t="s">
        <v>607</v>
      </c>
      <c r="C24" s="17" t="s">
        <v>535</v>
      </c>
      <c r="D24" s="8" t="s">
        <v>320</v>
      </c>
      <c r="E24" s="40" t="s">
        <v>589</v>
      </c>
      <c r="F24" s="40" t="s">
        <v>608</v>
      </c>
      <c r="G24" s="40" t="s">
        <v>571</v>
      </c>
      <c r="H24" s="40" t="s">
        <v>571</v>
      </c>
    </row>
    <row r="25" spans="1:8" x14ac:dyDescent="0.25">
      <c r="A25" s="11" t="s">
        <v>609</v>
      </c>
      <c r="B25" t="s">
        <v>610</v>
      </c>
      <c r="C25" s="17" t="s">
        <v>535</v>
      </c>
      <c r="D25" s="8" t="s">
        <v>320</v>
      </c>
      <c r="E25" s="40" t="s">
        <v>589</v>
      </c>
      <c r="F25" s="40" t="s">
        <v>611</v>
      </c>
      <c r="G25" s="40" t="s">
        <v>571</v>
      </c>
      <c r="H25" s="40" t="s">
        <v>571</v>
      </c>
    </row>
    <row r="26" spans="1:8" x14ac:dyDescent="0.25">
      <c r="A26" t="s">
        <v>227</v>
      </c>
      <c r="B26" t="s">
        <v>228</v>
      </c>
      <c r="C26" s="14" t="s">
        <v>549</v>
      </c>
      <c r="D26" s="43" t="s">
        <v>327</v>
      </c>
      <c r="E26" s="26" t="s">
        <v>531</v>
      </c>
      <c r="F26" s="40" t="s">
        <v>612</v>
      </c>
      <c r="G26" s="40" t="s">
        <v>613</v>
      </c>
      <c r="H26" s="40" t="s">
        <v>614</v>
      </c>
    </row>
    <row r="27" spans="1:8" x14ac:dyDescent="0.25">
      <c r="A27" t="s">
        <v>615</v>
      </c>
      <c r="B27" t="s">
        <v>616</v>
      </c>
      <c r="C27" s="14" t="s">
        <v>549</v>
      </c>
      <c r="D27" s="43" t="s">
        <v>327</v>
      </c>
      <c r="E27" s="7" t="s">
        <v>569</v>
      </c>
      <c r="F27" s="40" t="s">
        <v>617</v>
      </c>
      <c r="G27" s="40" t="s">
        <v>618</v>
      </c>
      <c r="H27" s="40" t="s">
        <v>619</v>
      </c>
    </row>
    <row r="28" spans="1:8" x14ac:dyDescent="0.25">
      <c r="A28" t="s">
        <v>620</v>
      </c>
      <c r="B28" t="s">
        <v>220</v>
      </c>
      <c r="C28" s="14" t="s">
        <v>549</v>
      </c>
      <c r="D28" s="25" t="s">
        <v>323</v>
      </c>
      <c r="E28" s="7" t="s">
        <v>569</v>
      </c>
      <c r="F28" s="40" t="s">
        <v>550</v>
      </c>
      <c r="G28" s="40" t="s">
        <v>551</v>
      </c>
      <c r="H28" s="40" t="s">
        <v>552</v>
      </c>
    </row>
    <row r="29" spans="1:8" x14ac:dyDescent="0.25">
      <c r="A29" t="s">
        <v>621</v>
      </c>
      <c r="B29" t="s">
        <v>224</v>
      </c>
      <c r="C29" s="14" t="s">
        <v>549</v>
      </c>
      <c r="D29" s="43" t="s">
        <v>327</v>
      </c>
      <c r="E29" s="7" t="s">
        <v>569</v>
      </c>
      <c r="F29" s="40" t="s">
        <v>557</v>
      </c>
      <c r="G29" s="40" t="s">
        <v>558</v>
      </c>
      <c r="H29" s="40" t="s">
        <v>559</v>
      </c>
    </row>
    <row r="30" spans="1:8" x14ac:dyDescent="0.25">
      <c r="A30" t="s">
        <v>622</v>
      </c>
      <c r="B30" t="s">
        <v>226</v>
      </c>
      <c r="C30" s="2" t="s">
        <v>530</v>
      </c>
      <c r="D30" s="8" t="s">
        <v>320</v>
      </c>
      <c r="E30" s="7" t="s">
        <v>569</v>
      </c>
      <c r="F30" s="40" t="s">
        <v>560</v>
      </c>
      <c r="G30" s="40" t="s">
        <v>561</v>
      </c>
      <c r="H30" s="40" t="s">
        <v>562</v>
      </c>
    </row>
    <row r="31" spans="1:8" x14ac:dyDescent="0.25">
      <c r="A31" t="s">
        <v>623</v>
      </c>
      <c r="B31" t="s">
        <v>228</v>
      </c>
      <c r="C31" s="14" t="s">
        <v>549</v>
      </c>
      <c r="D31" s="43" t="s">
        <v>327</v>
      </c>
      <c r="E31" s="7" t="s">
        <v>569</v>
      </c>
      <c r="F31" s="40" t="s">
        <v>612</v>
      </c>
      <c r="G31" s="40" t="s">
        <v>613</v>
      </c>
      <c r="H31" s="40" t="s">
        <v>614</v>
      </c>
    </row>
    <row r="32" spans="1:8" x14ac:dyDescent="0.25">
      <c r="A32" t="s">
        <v>624</v>
      </c>
      <c r="B32" t="s">
        <v>625</v>
      </c>
      <c r="C32" s="2" t="s">
        <v>530</v>
      </c>
      <c r="D32" s="8" t="s">
        <v>320</v>
      </c>
      <c r="E32" s="7" t="s">
        <v>569</v>
      </c>
      <c r="F32" s="40" t="s">
        <v>626</v>
      </c>
      <c r="G32" s="40" t="s">
        <v>627</v>
      </c>
      <c r="H32" s="40" t="s">
        <v>628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zoomScale="115" zoomScaleNormal="115" workbookViewId="0">
      <selection activeCell="A13" sqref="A13"/>
    </sheetView>
  </sheetViews>
  <sheetFormatPr defaultRowHeight="15" x14ac:dyDescent="0.25"/>
  <cols>
    <col min="1" max="1" width="22.140625" style="38" bestFit="1" customWidth="1"/>
    <col min="12" max="12" width="12.28515625" style="38" bestFit="1" customWidth="1"/>
    <col min="13" max="13" width="11.5703125" style="38" bestFit="1" customWidth="1"/>
    <col min="14" max="14" width="12.42578125" style="38" bestFit="1" customWidth="1"/>
  </cols>
  <sheetData>
    <row r="1" spans="1:14" x14ac:dyDescent="0.25">
      <c r="A1" s="16" t="s">
        <v>0</v>
      </c>
      <c r="B1" s="16" t="s">
        <v>25</v>
      </c>
      <c r="C1" s="16" t="s">
        <v>316</v>
      </c>
      <c r="D1" s="16" t="s">
        <v>526</v>
      </c>
      <c r="E1" s="16" t="s">
        <v>629</v>
      </c>
      <c r="F1" s="16" t="s">
        <v>460</v>
      </c>
      <c r="G1" s="16" t="s">
        <v>470</v>
      </c>
      <c r="H1" s="16" t="s">
        <v>468</v>
      </c>
      <c r="I1" s="16" t="s">
        <v>472</v>
      </c>
      <c r="J1" s="16" t="s">
        <v>630</v>
      </c>
      <c r="K1" s="16" t="s">
        <v>631</v>
      </c>
      <c r="L1" s="16" t="s">
        <v>632</v>
      </c>
      <c r="M1" s="16" t="s">
        <v>633</v>
      </c>
      <c r="N1" s="16" t="s">
        <v>634</v>
      </c>
    </row>
    <row r="2" spans="1:14" x14ac:dyDescent="0.25">
      <c r="A2" t="s">
        <v>207</v>
      </c>
      <c r="B2" s="2" t="str">
        <f>Character!C2</f>
        <v>UR</v>
      </c>
      <c r="C2" s="8" t="str">
        <f>Character!D2</f>
        <v>Fighter</v>
      </c>
      <c r="D2" s="26" t="str">
        <f>Character!E2</f>
        <v>Character</v>
      </c>
      <c r="E2" s="40" t="s">
        <v>635</v>
      </c>
      <c r="F2" s="40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40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40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40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40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40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40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211</v>
      </c>
      <c r="B3" s="17" t="str">
        <f>Character!C3</f>
        <v>R</v>
      </c>
      <c r="C3" s="7" t="str">
        <f>Character!D3</f>
        <v>Mage</v>
      </c>
      <c r="D3" s="26" t="str">
        <f>Character!E3</f>
        <v>Character</v>
      </c>
      <c r="E3" s="40" t="s">
        <v>636</v>
      </c>
      <c r="F3" s="40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40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40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40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40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40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40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213</v>
      </c>
      <c r="B4" s="14" t="str">
        <f>Character!C4</f>
        <v>SR</v>
      </c>
      <c r="C4" s="43" t="str">
        <f>Character!D4</f>
        <v>Tanker</v>
      </c>
      <c r="D4" s="26" t="str">
        <f>Character!E4</f>
        <v>Character</v>
      </c>
      <c r="E4" s="40" t="s">
        <v>636</v>
      </c>
      <c r="F4" s="40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40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40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40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40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40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40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215</v>
      </c>
      <c r="B5" s="3" t="str">
        <f>Character!C5</f>
        <v>SR</v>
      </c>
      <c r="C5" s="43" t="str">
        <f>Character!D5</f>
        <v>Tanker</v>
      </c>
      <c r="D5" s="26" t="str">
        <f>Character!E5</f>
        <v>Character</v>
      </c>
      <c r="E5" s="40" t="s">
        <v>637</v>
      </c>
      <c r="F5" s="40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40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40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40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40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40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40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s="23" t="s">
        <v>217</v>
      </c>
      <c r="B6" s="3" t="str">
        <f>Character!C6</f>
        <v>SR</v>
      </c>
      <c r="C6" s="35" t="str">
        <f>Character!D6</f>
        <v>Support</v>
      </c>
      <c r="D6" s="26" t="str">
        <f>Character!E6</f>
        <v>Character</v>
      </c>
      <c r="E6" s="40" t="s">
        <v>637</v>
      </c>
      <c r="F6" s="40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40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40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40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40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40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40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219</v>
      </c>
      <c r="B7" s="14" t="str">
        <f>Character!C7</f>
        <v>SSR</v>
      </c>
      <c r="C7" s="25" t="str">
        <f>Character!D7</f>
        <v>Assassin</v>
      </c>
      <c r="D7" s="26" t="str">
        <f>Character!E7</f>
        <v>Character</v>
      </c>
      <c r="E7" s="40" t="s">
        <v>635</v>
      </c>
      <c r="F7" s="40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40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40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40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40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40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40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221</v>
      </c>
      <c r="B8" s="3" t="str">
        <f>Character!C8</f>
        <v>R</v>
      </c>
      <c r="C8" s="7" t="str">
        <f>Character!D8</f>
        <v>ADCarry</v>
      </c>
      <c r="D8" s="26" t="str">
        <f>Character!E8</f>
        <v>Character</v>
      </c>
      <c r="E8" s="40" t="s">
        <v>638</v>
      </c>
      <c r="F8" s="40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40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40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40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40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40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40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223</v>
      </c>
      <c r="B9" s="2" t="str">
        <f>Character!C9</f>
        <v>SSR</v>
      </c>
      <c r="C9" s="43" t="str">
        <f>Character!D9</f>
        <v>Tanker</v>
      </c>
      <c r="D9" s="26" t="str">
        <f>Character!E9</f>
        <v>Character</v>
      </c>
      <c r="E9" s="40" t="s">
        <v>637</v>
      </c>
      <c r="F9" s="40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40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40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40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40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40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40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225</v>
      </c>
      <c r="B10" s="2" t="str">
        <f>Character!C10</f>
        <v>UR</v>
      </c>
      <c r="C10" s="8" t="str">
        <f>Character!D10</f>
        <v>Fighter</v>
      </c>
      <c r="D10" s="26" t="str">
        <f>Character!E10</f>
        <v>Character</v>
      </c>
      <c r="E10" s="40" t="s">
        <v>636</v>
      </c>
      <c r="F10" s="40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40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40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40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40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40">
        <v>12</v>
      </c>
      <c r="L10" s="40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s="23" t="s">
        <v>563</v>
      </c>
      <c r="B11" s="2" t="str">
        <f>Character!C11</f>
        <v>UR</v>
      </c>
      <c r="C11" s="25" t="str">
        <f>Character!D11</f>
        <v>Mage</v>
      </c>
      <c r="D11" s="26" t="str">
        <f>Character!E11</f>
        <v>Character</v>
      </c>
      <c r="E11" s="40" t="s">
        <v>636</v>
      </c>
      <c r="F11" s="40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40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40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40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40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40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40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11" t="s">
        <v>568</v>
      </c>
      <c r="B12" s="17" t="str">
        <f>Character!C12</f>
        <v>R</v>
      </c>
      <c r="C12" s="8" t="str">
        <f>Character!D12</f>
        <v>Fighter</v>
      </c>
      <c r="D12" s="7" t="str">
        <f>Character!E12</f>
        <v>Boss</v>
      </c>
      <c r="E12" s="40" t="s">
        <v>635</v>
      </c>
      <c r="F12" s="40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40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40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40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40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40">
        <f>VLOOKUP(C12, Stat_Matrix!$E$2:$N$7, 6, FALSE) + (VLOOKUP(B12, Stat_Matrix!$A$2:$C$5, 3, FALSE) * VLOOKUP(C12, Stat_Matrix!$P$2:$Y$7, 6, FALSE)) + VLOOKUP(IF(ISBLANK(E12), "Balanced", E12), Stat_Matrix!$AG$2:$AP$6, 6, FALSE)</f>
        <v>7</v>
      </c>
      <c r="L12" s="40">
        <f>VLOOKUP(C12, Stat_Matrix!$E$2:$N$7, 7, FALSE) + (VLOOKUP(B12, Stat_Matrix!$A$2:$C$5, 3, FALSE) * VLOOKUP(C12, Stat_Matrix!$P$2:$Y$7, 7, FALSE)) + VLOOKUP(IF(ISBLANK(E12), "Balanced", E12), Stat_Matrix!$AG$2:$AP$6, 7, FALSE)</f>
        <v>13</v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>2</v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>10</v>
      </c>
    </row>
    <row r="13" spans="1:14" x14ac:dyDescent="0.25">
      <c r="A13" s="22" t="s">
        <v>231</v>
      </c>
      <c r="B13" s="2" t="str">
        <f>Character!C13</f>
        <v>UR</v>
      </c>
      <c r="C13" s="25" t="str">
        <f>Character!D13</f>
        <v>Assassin</v>
      </c>
      <c r="D13" s="7" t="str">
        <f>Character!E13</f>
        <v>Boss</v>
      </c>
      <c r="E13" s="40" t="s">
        <v>636</v>
      </c>
      <c r="F13" s="40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40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40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40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40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40">
        <f>VLOOKUP(C13, Stat_Matrix!$E$2:$N$7, 6, FALSE) + (VLOOKUP(B13, Stat_Matrix!$A$2:$C$5, 3, FALSE) * VLOOKUP(C13, Stat_Matrix!$P$2:$Y$7, 6, FALSE)) + VLOOKUP(IF(ISBLANK(E13), "Balanced", E13), Stat_Matrix!$AG$2:$AP$6, 6, FALSE)</f>
        <v>16</v>
      </c>
      <c r="L13" s="40">
        <f>VLOOKUP(C13, Stat_Matrix!$E$2:$N$7, 7, FALSE) + (VLOOKUP(B13, Stat_Matrix!$A$2:$C$5, 3, FALSE) * VLOOKUP(C13, Stat_Matrix!$P$2:$Y$7, 7, FALSE)) + VLOOKUP(IF(ISBLANK(E13), "Balanced", E13), Stat_Matrix!$AG$2:$AP$6, 7, FALSE)</f>
        <v>24</v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>11</v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>10</v>
      </c>
    </row>
    <row r="14" spans="1:14" x14ac:dyDescent="0.25">
      <c r="A14" s="22" t="s">
        <v>233</v>
      </c>
      <c r="B14" s="14" t="str">
        <f>Character!C14</f>
        <v>SSR</v>
      </c>
      <c r="C14" s="25" t="str">
        <f>Character!D14</f>
        <v>Assassin</v>
      </c>
      <c r="D14" s="7" t="str">
        <f>Character!E14</f>
        <v>Boss</v>
      </c>
      <c r="E14" s="40" t="s">
        <v>635</v>
      </c>
      <c r="F14" s="40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40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40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40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40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40">
        <f>VLOOKUP(C14, Stat_Matrix!$E$2:$N$7, 6, FALSE) + (VLOOKUP(B14, Stat_Matrix!$A$2:$C$5, 3, FALSE) * VLOOKUP(C14, Stat_Matrix!$P$2:$Y$7, 6, FALSE)) + VLOOKUP(IF(ISBLANK(E14), "Balanced", E14), Stat_Matrix!$AG$2:$AP$6, 6, FALSE)</f>
        <v>16</v>
      </c>
      <c r="L14" s="40">
        <f>VLOOKUP(C14, Stat_Matrix!$E$2:$N$7, 7, FALSE) + (VLOOKUP(B14, Stat_Matrix!$A$2:$C$5, 3, FALSE) * VLOOKUP(C14, Stat_Matrix!$P$2:$Y$7, 7, FALSE)) + VLOOKUP(IF(ISBLANK(E14), "Balanced", E14), Stat_Matrix!$AG$2:$AP$6, 7, FALSE)</f>
        <v>29</v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>9</v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>10</v>
      </c>
    </row>
    <row r="15" spans="1:14" x14ac:dyDescent="0.25">
      <c r="A15" s="22" t="s">
        <v>235</v>
      </c>
      <c r="B15" s="14" t="str">
        <f>Character!C15</f>
        <v>SSR</v>
      </c>
      <c r="C15" s="25" t="str">
        <f>Character!D15</f>
        <v>Assassin</v>
      </c>
      <c r="D15" s="7" t="str">
        <f>Character!E15</f>
        <v>Boss</v>
      </c>
      <c r="E15" s="40" t="s">
        <v>635</v>
      </c>
      <c r="F15" s="40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40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40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40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40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40">
        <f>VLOOKUP(C15, Stat_Matrix!$E$2:$N$7, 6, FALSE) + (VLOOKUP(B15, Stat_Matrix!$A$2:$C$5, 3, FALSE) * VLOOKUP(C15, Stat_Matrix!$P$2:$Y$7, 6, FALSE)) + VLOOKUP(IF(ISBLANK(E15), "Balanced", E15), Stat_Matrix!$AG$2:$AP$6, 6, FALSE)</f>
        <v>16</v>
      </c>
      <c r="L15" s="40">
        <f>VLOOKUP(C15, Stat_Matrix!$E$2:$N$7, 7, FALSE) + (VLOOKUP(B15, Stat_Matrix!$A$2:$C$5, 3, FALSE) * VLOOKUP(C15, Stat_Matrix!$P$2:$Y$7, 7, FALSE)) + VLOOKUP(IF(ISBLANK(E15), "Balanced", E15), Stat_Matrix!$AG$2:$AP$6, 7, FALSE)</f>
        <v>29</v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>9</v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>10</v>
      </c>
    </row>
    <row r="16" spans="1:14" x14ac:dyDescent="0.25">
      <c r="A16" s="22" t="s">
        <v>237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40" t="s">
        <v>635</v>
      </c>
      <c r="F16" s="40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40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40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40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40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40">
        <f>VLOOKUP(C16, Stat_Matrix!$E$2:$N$7, 6, FALSE) + (VLOOKUP(B16, Stat_Matrix!$A$2:$C$5, 3, FALSE) * VLOOKUP(C16, Stat_Matrix!$P$2:$Y$7, 6, FALSE)) + VLOOKUP(IF(ISBLANK(E16), "Balanced", E16), Stat_Matrix!$AG$2:$AP$6, 6, FALSE)</f>
        <v>10</v>
      </c>
      <c r="L16" s="40">
        <f>VLOOKUP(C16, Stat_Matrix!$E$2:$N$7, 7, FALSE) + (VLOOKUP(B16, Stat_Matrix!$A$2:$C$5, 3, FALSE) * VLOOKUP(C16, Stat_Matrix!$P$2:$Y$7, 7, FALSE)) + VLOOKUP(IF(ISBLANK(E16), "Balanced", E16), Stat_Matrix!$AG$2:$AP$6, 7, FALSE)</f>
        <v>22</v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>5</v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>10</v>
      </c>
    </row>
    <row r="17" spans="1:14" x14ac:dyDescent="0.25">
      <c r="A17" s="22" t="s">
        <v>239</v>
      </c>
      <c r="B17" s="14" t="str">
        <f>Character!C17</f>
        <v>SSR</v>
      </c>
      <c r="C17" s="8" t="str">
        <f>Character!D17</f>
        <v>Fighter</v>
      </c>
      <c r="D17" s="7" t="str">
        <f>Character!E17</f>
        <v>Boss</v>
      </c>
      <c r="E17" s="40" t="s">
        <v>635</v>
      </c>
      <c r="F17" s="40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5682</v>
      </c>
      <c r="G17" s="40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40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40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40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40">
        <f>VLOOKUP(C17, Stat_Matrix!$E$2:$N$7, 6, FALSE) + (VLOOKUP(B17, Stat_Matrix!$A$2:$C$5, 3, FALSE) * VLOOKUP(C17, Stat_Matrix!$P$2:$Y$7, 6, FALSE)) + VLOOKUP(IF(ISBLANK(E17), "Balanced", E17), Stat_Matrix!$AG$2:$AP$6, 6, FALSE)</f>
        <v>9</v>
      </c>
      <c r="L17" s="40">
        <f>VLOOKUP(C17, Stat_Matrix!$E$2:$N$7, 7, FALSE) + (VLOOKUP(B17, Stat_Matrix!$A$2:$C$5, 3, FALSE) * VLOOKUP(C17, Stat_Matrix!$P$2:$Y$7, 7, FALSE)) + VLOOKUP(IF(ISBLANK(E17), "Balanced", E17), Stat_Matrix!$AG$2:$AP$6, 7, FALSE)</f>
        <v>19</v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>4</v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>10</v>
      </c>
    </row>
    <row r="18" spans="1:14" x14ac:dyDescent="0.25">
      <c r="A18" s="11" t="s">
        <v>587</v>
      </c>
      <c r="B18" s="17" t="str">
        <f>Character!C18</f>
        <v>R</v>
      </c>
      <c r="C18" s="8" t="str">
        <f>Character!D18</f>
        <v>Fighter</v>
      </c>
      <c r="D18" s="40" t="str">
        <f>Character!E18</f>
        <v>Creep</v>
      </c>
      <c r="E18" s="40" t="s">
        <v>636</v>
      </c>
      <c r="F18" s="40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40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40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40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40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40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40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11" t="s">
        <v>591</v>
      </c>
      <c r="B19" s="17" t="str">
        <f>Character!C19</f>
        <v>R</v>
      </c>
      <c r="C19" s="8" t="str">
        <f>Character!D19</f>
        <v>Fighter</v>
      </c>
      <c r="D19" s="40" t="str">
        <f>Character!E19</f>
        <v>Creep</v>
      </c>
      <c r="E19" s="40" t="s">
        <v>636</v>
      </c>
      <c r="F19" s="40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40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40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40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40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40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40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11" t="s">
        <v>594</v>
      </c>
      <c r="B20" s="17" t="str">
        <f>Character!C20</f>
        <v>R</v>
      </c>
      <c r="C20" s="8" t="str">
        <f>Character!D20</f>
        <v>Fighter</v>
      </c>
      <c r="D20" s="40" t="str">
        <f>Character!E20</f>
        <v>Creep</v>
      </c>
      <c r="E20" s="40" t="s">
        <v>636</v>
      </c>
      <c r="F20" s="40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40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40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40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40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40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40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11" t="s">
        <v>597</v>
      </c>
      <c r="B21" s="17" t="str">
        <f>Character!C21</f>
        <v>R</v>
      </c>
      <c r="C21" s="8" t="str">
        <f>Character!D21</f>
        <v>Fighter</v>
      </c>
      <c r="D21" s="40" t="str">
        <f>Character!E21</f>
        <v>Creep</v>
      </c>
      <c r="E21" s="40" t="s">
        <v>638</v>
      </c>
      <c r="F21" s="40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40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40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40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40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40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40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11" t="s">
        <v>600</v>
      </c>
      <c r="B22" s="17" t="str">
        <f>Character!C22</f>
        <v>R</v>
      </c>
      <c r="C22" s="8" t="str">
        <f>Character!D22</f>
        <v>Fighter</v>
      </c>
      <c r="D22" s="40" t="str">
        <f>Character!E22</f>
        <v>Creep</v>
      </c>
      <c r="E22" s="40" t="s">
        <v>637</v>
      </c>
      <c r="F22" s="40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40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40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40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40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40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40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11" t="s">
        <v>603</v>
      </c>
      <c r="B23" s="17" t="str">
        <f>Character!C23</f>
        <v>R</v>
      </c>
      <c r="C23" s="8" t="str">
        <f>Character!D23</f>
        <v>Fighter</v>
      </c>
      <c r="D23" s="40" t="str">
        <f>Character!E23</f>
        <v>Creep</v>
      </c>
      <c r="E23" s="40" t="s">
        <v>639</v>
      </c>
      <c r="F23" s="40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40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40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40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40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40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40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11" t="s">
        <v>606</v>
      </c>
      <c r="B24" s="17" t="str">
        <f>Character!C24</f>
        <v>R</v>
      </c>
      <c r="C24" s="8" t="str">
        <f>Character!D24</f>
        <v>Fighter</v>
      </c>
      <c r="D24" s="40" t="str">
        <f>Character!E24</f>
        <v>Creep</v>
      </c>
      <c r="E24" s="40" t="s">
        <v>636</v>
      </c>
      <c r="F24" s="40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40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40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40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40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40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40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11" t="s">
        <v>609</v>
      </c>
      <c r="B25" s="17" t="str">
        <f>Character!C25</f>
        <v>R</v>
      </c>
      <c r="C25" s="8" t="str">
        <f>Character!D25</f>
        <v>Fighter</v>
      </c>
      <c r="D25" s="40" t="str">
        <f>Character!E25</f>
        <v>Creep</v>
      </c>
      <c r="E25" s="40" t="s">
        <v>636</v>
      </c>
      <c r="F25" s="40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40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40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40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40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40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40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227</v>
      </c>
      <c r="B26" s="14" t="str">
        <f>Character!C26</f>
        <v>SSR</v>
      </c>
      <c r="C26" s="43" t="str">
        <f>Character!D26</f>
        <v>Tanker</v>
      </c>
      <c r="D26" s="26" t="str">
        <f>Character!E26</f>
        <v>Character</v>
      </c>
      <c r="E26" s="40" t="s">
        <v>637</v>
      </c>
      <c r="F26" s="40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40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40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40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40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40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40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615</v>
      </c>
      <c r="B27" s="14" t="str">
        <f>Character!C27</f>
        <v>SSR</v>
      </c>
      <c r="C27" s="43" t="str">
        <f>Character!D27</f>
        <v>Tanker</v>
      </c>
      <c r="D27" s="7" t="str">
        <f>Character!E27</f>
        <v>Boss</v>
      </c>
      <c r="E27" s="40" t="s">
        <v>639</v>
      </c>
      <c r="F27" s="40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40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40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40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40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40">
        <f>VLOOKUP(C27, Stat_Matrix!$E$2:$N$7, 6, FALSE) + (VLOOKUP(B27, Stat_Matrix!$A$2:$C$5, 3, FALSE) * VLOOKUP(C27, Stat_Matrix!$P$2:$Y$7, 6, FALSE)) + VLOOKUP(IF(ISBLANK(E27), "Balanced", E27), Stat_Matrix!$AG$2:$AP$6, 6, FALSE)</f>
        <v>5</v>
      </c>
      <c r="L27" s="40">
        <f>VLOOKUP(C27, Stat_Matrix!$E$2:$N$7, 7, FALSE) + (VLOOKUP(B27, Stat_Matrix!$A$2:$C$5, 3, FALSE) * VLOOKUP(C27, Stat_Matrix!$P$2:$Y$7, 7, FALSE)) + VLOOKUP(IF(ISBLANK(E27), "Balanced", E27), Stat_Matrix!$AG$2:$AP$6, 7, FALSE)</f>
        <v>0</v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>0</v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>19</v>
      </c>
    </row>
    <row r="28" spans="1:14" x14ac:dyDescent="0.25">
      <c r="A28" t="s">
        <v>620</v>
      </c>
      <c r="B28" s="14" t="str">
        <f>Character!C28</f>
        <v>SSR</v>
      </c>
      <c r="C28" s="25" t="str">
        <f>Character!D28</f>
        <v>Assassin</v>
      </c>
      <c r="D28" s="7" t="str">
        <f>Character!E28</f>
        <v>Boss</v>
      </c>
      <c r="E28" s="40" t="s">
        <v>635</v>
      </c>
      <c r="F28" s="40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40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40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40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40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40">
        <f>VLOOKUP(C28, Stat_Matrix!$E$2:$N$7, 6, FALSE) + (VLOOKUP(B28, Stat_Matrix!$A$2:$C$5, 3, FALSE) * VLOOKUP(C28, Stat_Matrix!$P$2:$Y$7, 6, FALSE)) + VLOOKUP(IF(ISBLANK(E28), "Balanced", E28), Stat_Matrix!$AG$2:$AP$6, 6, FALSE)</f>
        <v>16</v>
      </c>
      <c r="L28" s="40">
        <f>VLOOKUP(C28, Stat_Matrix!$E$2:$N$7, 7, FALSE) + (VLOOKUP(B28, Stat_Matrix!$A$2:$C$5, 3, FALSE) * VLOOKUP(C28, Stat_Matrix!$P$2:$Y$7, 7, FALSE)) + VLOOKUP(IF(ISBLANK(E28), "Balanced", E28), Stat_Matrix!$AG$2:$AP$6, 7, FALSE)</f>
        <v>29</v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>9</v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>10</v>
      </c>
    </row>
    <row r="29" spans="1:14" x14ac:dyDescent="0.25">
      <c r="A29" t="s">
        <v>621</v>
      </c>
      <c r="B29" s="2" t="str">
        <f>Character!C29</f>
        <v>SSR</v>
      </c>
      <c r="C29" s="43" t="str">
        <f>Character!D29</f>
        <v>Tanker</v>
      </c>
      <c r="D29" s="7" t="str">
        <f>Character!E29</f>
        <v>Boss</v>
      </c>
      <c r="E29" s="40" t="s">
        <v>637</v>
      </c>
      <c r="F29" s="40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40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40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40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40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40">
        <f>VLOOKUP(C29, Stat_Matrix!$E$2:$N$7, 6, FALSE) + (VLOOKUP(B29, Stat_Matrix!$A$2:$C$5, 3, FALSE) * VLOOKUP(C29, Stat_Matrix!$P$2:$Y$7, 6, FALSE)) + VLOOKUP(IF(ISBLANK(E29), "Balanced", E29), Stat_Matrix!$AG$2:$AP$6, 6, FALSE)</f>
        <v>5</v>
      </c>
      <c r="L29" s="40">
        <f>VLOOKUP(C29, Stat_Matrix!$E$2:$N$7, 7, FALSE) + (VLOOKUP(B29, Stat_Matrix!$A$2:$C$5, 3, FALSE) * VLOOKUP(C29, Stat_Matrix!$P$2:$Y$7, 7, FALSE)) + VLOOKUP(IF(ISBLANK(E29), "Balanced", E29), Stat_Matrix!$AG$2:$AP$6, 7, FALSE)</f>
        <v>0</v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>0</v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>24</v>
      </c>
    </row>
    <row r="30" spans="1:14" x14ac:dyDescent="0.25">
      <c r="A30" t="s">
        <v>622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40" t="s">
        <v>636</v>
      </c>
      <c r="F30" s="40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40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40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40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40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40">
        <f>VLOOKUP(C30, Stat_Matrix!$E$2:$N$7, 6, FALSE) + (VLOOKUP(B30, Stat_Matrix!$A$2:$C$5, 3, FALSE) * VLOOKUP(C30, Stat_Matrix!$P$2:$Y$7, 6, FALSE)) + VLOOKUP(IF(ISBLANK(E30), "Balanced", E30), Stat_Matrix!$AG$2:$AP$6, 6, FALSE)</f>
        <v>8</v>
      </c>
      <c r="L30" s="40">
        <f>VLOOKUP(C30, Stat_Matrix!$E$2:$N$7, 7, FALSE) + (VLOOKUP(B30, Stat_Matrix!$A$2:$C$5, 3, FALSE) * VLOOKUP(C30, Stat_Matrix!$P$2:$Y$7, 7, FALSE)) + VLOOKUP(IF(ISBLANK(E30), "Balanced", E30), Stat_Matrix!$AG$2:$AP$6, 7, FALSE)</f>
        <v>14</v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>5</v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>10</v>
      </c>
    </row>
    <row r="31" spans="1:14" x14ac:dyDescent="0.25">
      <c r="A31" t="s">
        <v>623</v>
      </c>
      <c r="B31" s="14" t="str">
        <f>Character!C31</f>
        <v>SSR</v>
      </c>
      <c r="C31" s="43" t="str">
        <f>Character!D31</f>
        <v>Tanker</v>
      </c>
      <c r="D31" s="7" t="str">
        <f>Character!E31</f>
        <v>Boss</v>
      </c>
      <c r="E31" s="40" t="s">
        <v>637</v>
      </c>
      <c r="F31" s="40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40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40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40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40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40">
        <f>VLOOKUP(C31, Stat_Matrix!$E$2:$N$7, 6, FALSE) + (VLOOKUP(B31, Stat_Matrix!$A$2:$C$5, 3, FALSE) * VLOOKUP(C31, Stat_Matrix!$P$2:$Y$7, 6, FALSE)) + VLOOKUP(IF(ISBLANK(E31), "Balanced", E31), Stat_Matrix!$AG$2:$AP$6, 6, FALSE)</f>
        <v>5</v>
      </c>
      <c r="L31" s="40">
        <f>VLOOKUP(C31, Stat_Matrix!$E$2:$N$7, 7, FALSE) + (VLOOKUP(B31, Stat_Matrix!$A$2:$C$5, 3, FALSE) * VLOOKUP(C31, Stat_Matrix!$P$2:$Y$7, 7, FALSE)) + VLOOKUP(IF(ISBLANK(E31), "Balanced", E31), Stat_Matrix!$AG$2:$AP$6, 7, FALSE)</f>
        <v>0</v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>0</v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>24</v>
      </c>
    </row>
    <row r="32" spans="1:14" x14ac:dyDescent="0.25">
      <c r="A32" t="s">
        <v>624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40" t="s">
        <v>636</v>
      </c>
      <c r="F32" s="40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7013</v>
      </c>
      <c r="G32" s="40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40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40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40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40">
        <f>VLOOKUP(C32, Stat_Matrix!$E$2:$N$7, 6, FALSE) + (VLOOKUP(B32, Stat_Matrix!$A$2:$C$5, 3, FALSE) * VLOOKUP(C32, Stat_Matrix!$P$2:$Y$7, 6, FALSE)) + VLOOKUP(IF(ISBLANK(E32), "Balanced", E32), Stat_Matrix!$AG$2:$AP$6, 6, FALSE)</f>
        <v>8</v>
      </c>
      <c r="L32" s="40">
        <f>VLOOKUP(C32, Stat_Matrix!$E$2:$N$7, 7, FALSE) + (VLOOKUP(B32, Stat_Matrix!$A$2:$C$5, 3, FALSE) * VLOOKUP(C32, Stat_Matrix!$P$2:$Y$7, 7, FALSE)) + VLOOKUP(IF(ISBLANK(E32), "Balanced", E32), Stat_Matrix!$AG$2:$AP$6, 7, FALSE)</f>
        <v>14</v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>5</v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topLeftCell="C14" zoomScale="130" zoomScaleNormal="130" workbookViewId="0">
      <selection activeCell="I25" sqref="I25"/>
    </sheetView>
  </sheetViews>
  <sheetFormatPr defaultRowHeight="15" x14ac:dyDescent="0.25"/>
  <cols>
    <col min="1" max="1" width="24.85546875" style="38" customWidth="1"/>
    <col min="2" max="2" width="29" style="38" customWidth="1"/>
    <col min="3" max="3" width="24.85546875" style="38" customWidth="1"/>
    <col min="4" max="4" width="17.85546875" style="38" customWidth="1"/>
    <col min="5" max="5" width="17.7109375" style="38" customWidth="1"/>
    <col min="6" max="6" width="23.42578125" style="38" customWidth="1"/>
    <col min="7" max="7" width="16.85546875" style="38" customWidth="1"/>
    <col min="8" max="8" width="16.5703125" style="38" customWidth="1"/>
    <col min="9" max="9" width="15.140625" style="38" bestFit="1" customWidth="1"/>
    <col min="10" max="10" width="26.42578125" style="38" customWidth="1"/>
    <col min="11" max="11" width="24.85546875" style="38" bestFit="1" customWidth="1"/>
  </cols>
  <sheetData>
    <row r="1" spans="1:11" x14ac:dyDescent="0.25">
      <c r="A1" s="16" t="s">
        <v>0</v>
      </c>
      <c r="B1" s="16" t="s">
        <v>1</v>
      </c>
      <c r="C1" s="16" t="s">
        <v>489</v>
      </c>
      <c r="D1" s="16" t="s">
        <v>316</v>
      </c>
      <c r="E1" s="16" t="s">
        <v>640</v>
      </c>
      <c r="F1" s="16" t="s">
        <v>641</v>
      </c>
      <c r="G1" s="16" t="s">
        <v>642</v>
      </c>
      <c r="H1" s="16" t="s">
        <v>643</v>
      </c>
      <c r="I1" s="16" t="s">
        <v>644</v>
      </c>
      <c r="J1" s="16" t="s">
        <v>645</v>
      </c>
      <c r="K1" s="16" t="s">
        <v>319</v>
      </c>
    </row>
    <row r="2" spans="1:11" x14ac:dyDescent="0.25">
      <c r="A2" t="s">
        <v>532</v>
      </c>
      <c r="B2" t="s">
        <v>646</v>
      </c>
      <c r="C2" t="s">
        <v>647</v>
      </c>
      <c r="D2" s="40" t="s">
        <v>648</v>
      </c>
      <c r="E2" s="40" t="s">
        <v>649</v>
      </c>
      <c r="F2" s="40" t="s">
        <v>650</v>
      </c>
      <c r="G2" s="40" t="s">
        <v>443</v>
      </c>
      <c r="H2" s="40" t="s">
        <v>651</v>
      </c>
      <c r="I2" s="39" t="s">
        <v>499</v>
      </c>
      <c r="J2" s="28" t="s">
        <v>652</v>
      </c>
      <c r="K2" s="40" t="s">
        <v>499</v>
      </c>
    </row>
    <row r="3" spans="1:11" x14ac:dyDescent="0.25">
      <c r="A3" t="s">
        <v>533</v>
      </c>
      <c r="B3" t="s">
        <v>653</v>
      </c>
      <c r="C3" t="s">
        <v>654</v>
      </c>
      <c r="D3" s="40" t="s">
        <v>655</v>
      </c>
      <c r="E3" s="40" t="s">
        <v>656</v>
      </c>
      <c r="F3" s="40" t="s">
        <v>657</v>
      </c>
      <c r="G3" s="40" t="s">
        <v>658</v>
      </c>
      <c r="H3" s="40" t="s">
        <v>659</v>
      </c>
      <c r="I3" s="39" t="s">
        <v>499</v>
      </c>
      <c r="J3" s="28" t="s">
        <v>660</v>
      </c>
      <c r="K3" s="45" t="s">
        <v>357</v>
      </c>
    </row>
    <row r="4" spans="1:11" x14ac:dyDescent="0.25">
      <c r="A4" t="s">
        <v>534</v>
      </c>
      <c r="B4" t="s">
        <v>661</v>
      </c>
      <c r="C4" t="s">
        <v>662</v>
      </c>
      <c r="D4" s="39" t="s">
        <v>663</v>
      </c>
      <c r="E4" s="40" t="s">
        <v>664</v>
      </c>
      <c r="F4" s="40" t="s">
        <v>665</v>
      </c>
      <c r="G4" s="40" t="s">
        <v>658</v>
      </c>
      <c r="H4" s="40" t="s">
        <v>651</v>
      </c>
      <c r="I4" s="39" t="s">
        <v>499</v>
      </c>
      <c r="J4" s="28" t="s">
        <v>666</v>
      </c>
      <c r="K4" s="40" t="s">
        <v>499</v>
      </c>
    </row>
    <row r="5" spans="1:11" x14ac:dyDescent="0.25">
      <c r="A5" s="10" t="s">
        <v>536</v>
      </c>
      <c r="B5" t="s">
        <v>667</v>
      </c>
      <c r="C5" t="s">
        <v>668</v>
      </c>
      <c r="D5" s="7" t="s">
        <v>669</v>
      </c>
      <c r="E5" s="40" t="s">
        <v>670</v>
      </c>
      <c r="F5" s="40" t="s">
        <v>650</v>
      </c>
      <c r="G5" s="40" t="s">
        <v>443</v>
      </c>
      <c r="H5" s="40" t="s">
        <v>651</v>
      </c>
      <c r="I5" s="39" t="s">
        <v>499</v>
      </c>
      <c r="J5" s="28" t="s">
        <v>671</v>
      </c>
      <c r="K5" s="40" t="s">
        <v>499</v>
      </c>
    </row>
    <row r="6" spans="1:11" x14ac:dyDescent="0.25">
      <c r="A6" s="10" t="s">
        <v>537</v>
      </c>
      <c r="B6" t="s">
        <v>672</v>
      </c>
      <c r="C6" t="s">
        <v>673</v>
      </c>
      <c r="D6" s="7" t="s">
        <v>674</v>
      </c>
      <c r="E6" s="40" t="s">
        <v>675</v>
      </c>
      <c r="F6" s="40" t="s">
        <v>657</v>
      </c>
      <c r="G6" t="s">
        <v>427</v>
      </c>
      <c r="H6" s="40" t="s">
        <v>676</v>
      </c>
      <c r="I6" s="39" t="s">
        <v>499</v>
      </c>
      <c r="J6" s="28" t="s">
        <v>677</v>
      </c>
      <c r="K6" s="40" t="s">
        <v>499</v>
      </c>
    </row>
    <row r="7" spans="1:11" x14ac:dyDescent="0.25">
      <c r="A7" s="10" t="s">
        <v>538</v>
      </c>
      <c r="B7" t="s">
        <v>678</v>
      </c>
      <c r="C7" t="s">
        <v>679</v>
      </c>
      <c r="D7" s="2" t="s">
        <v>663</v>
      </c>
      <c r="E7" s="40" t="s">
        <v>680</v>
      </c>
      <c r="F7" s="40" t="s">
        <v>665</v>
      </c>
      <c r="G7" s="40" t="s">
        <v>658</v>
      </c>
      <c r="H7" s="40" t="s">
        <v>651</v>
      </c>
      <c r="I7" t="s">
        <v>500</v>
      </c>
      <c r="J7" s="28" t="s">
        <v>681</v>
      </c>
      <c r="K7" s="40" t="s">
        <v>499</v>
      </c>
    </row>
    <row r="8" spans="1:11" x14ac:dyDescent="0.25">
      <c r="A8" t="s">
        <v>540</v>
      </c>
      <c r="B8" t="s">
        <v>682</v>
      </c>
      <c r="C8" t="s">
        <v>683</v>
      </c>
      <c r="D8" s="40" t="s">
        <v>648</v>
      </c>
      <c r="E8" s="40" t="s">
        <v>670</v>
      </c>
      <c r="F8" s="40" t="s">
        <v>650</v>
      </c>
      <c r="G8" s="40" t="s">
        <v>443</v>
      </c>
      <c r="H8" s="40" t="s">
        <v>651</v>
      </c>
      <c r="I8" s="39" t="s">
        <v>499</v>
      </c>
      <c r="J8" s="28" t="s">
        <v>684</v>
      </c>
      <c r="K8" s="40" t="s">
        <v>499</v>
      </c>
    </row>
    <row r="9" spans="1:11" x14ac:dyDescent="0.25">
      <c r="A9" t="s">
        <v>541</v>
      </c>
      <c r="B9" t="s">
        <v>685</v>
      </c>
      <c r="C9" t="s">
        <v>686</v>
      </c>
      <c r="D9" s="40" t="s">
        <v>674</v>
      </c>
      <c r="E9" s="40" t="s">
        <v>964</v>
      </c>
      <c r="F9" s="40" t="s">
        <v>657</v>
      </c>
      <c r="G9" t="s">
        <v>427</v>
      </c>
      <c r="H9" s="40" t="s">
        <v>676</v>
      </c>
      <c r="I9" s="39" t="s">
        <v>499</v>
      </c>
      <c r="J9" s="28" t="s">
        <v>687</v>
      </c>
      <c r="K9" s="40" t="s">
        <v>499</v>
      </c>
    </row>
    <row r="10" spans="1:11" x14ac:dyDescent="0.25">
      <c r="A10" t="s">
        <v>542</v>
      </c>
      <c r="B10" t="s">
        <v>688</v>
      </c>
      <c r="C10" t="s">
        <v>689</v>
      </c>
      <c r="D10" s="39" t="s">
        <v>663</v>
      </c>
      <c r="E10" s="40" t="s">
        <v>680</v>
      </c>
      <c r="F10" s="40" t="s">
        <v>665</v>
      </c>
      <c r="G10" s="40" t="s">
        <v>658</v>
      </c>
      <c r="H10" s="40" t="s">
        <v>651</v>
      </c>
      <c r="I10" s="39" t="s">
        <v>499</v>
      </c>
      <c r="J10" s="28" t="s">
        <v>690</v>
      </c>
      <c r="K10" s="40" t="s">
        <v>499</v>
      </c>
    </row>
    <row r="11" spans="1:11" x14ac:dyDescent="0.25">
      <c r="A11" s="10" t="s">
        <v>543</v>
      </c>
      <c r="B11" t="s">
        <v>691</v>
      </c>
      <c r="C11" t="s">
        <v>692</v>
      </c>
      <c r="D11" s="7" t="s">
        <v>648</v>
      </c>
      <c r="E11" s="40" t="s">
        <v>670</v>
      </c>
      <c r="F11" s="40" t="s">
        <v>650</v>
      </c>
      <c r="G11" s="40" t="s">
        <v>443</v>
      </c>
      <c r="H11" s="40" t="s">
        <v>651</v>
      </c>
      <c r="I11" s="39" t="s">
        <v>499</v>
      </c>
      <c r="J11" s="28" t="s">
        <v>693</v>
      </c>
      <c r="K11" s="40" t="s">
        <v>499</v>
      </c>
    </row>
    <row r="12" spans="1:11" x14ac:dyDescent="0.25">
      <c r="A12" s="10" t="s">
        <v>544</v>
      </c>
      <c r="B12" t="s">
        <v>694</v>
      </c>
      <c r="C12" t="s">
        <v>695</v>
      </c>
      <c r="D12" s="7" t="s">
        <v>696</v>
      </c>
      <c r="E12" s="40" t="s">
        <v>675</v>
      </c>
      <c r="F12" s="40" t="s">
        <v>657</v>
      </c>
      <c r="G12" t="s">
        <v>427</v>
      </c>
      <c r="H12" s="40" t="s">
        <v>676</v>
      </c>
      <c r="I12" t="s">
        <v>508</v>
      </c>
      <c r="J12" s="28" t="s">
        <v>697</v>
      </c>
      <c r="K12" s="40" t="s">
        <v>499</v>
      </c>
    </row>
    <row r="13" spans="1:11" x14ac:dyDescent="0.25">
      <c r="A13" s="10" t="s">
        <v>545</v>
      </c>
      <c r="B13" t="s">
        <v>698</v>
      </c>
      <c r="C13" t="s">
        <v>699</v>
      </c>
      <c r="D13" s="2" t="s">
        <v>663</v>
      </c>
      <c r="E13" s="40" t="s">
        <v>680</v>
      </c>
      <c r="F13" s="40" t="s">
        <v>665</v>
      </c>
      <c r="G13" s="40" t="s">
        <v>658</v>
      </c>
      <c r="H13" s="40" t="s">
        <v>651</v>
      </c>
      <c r="I13" s="39" t="s">
        <v>499</v>
      </c>
      <c r="J13" s="28" t="s">
        <v>700</v>
      </c>
      <c r="K13" s="40" t="s">
        <v>499</v>
      </c>
    </row>
    <row r="14" spans="1:11" x14ac:dyDescent="0.25">
      <c r="A14" s="23" t="s">
        <v>546</v>
      </c>
      <c r="B14" t="s">
        <v>701</v>
      </c>
      <c r="C14" s="23" t="s">
        <v>702</v>
      </c>
      <c r="D14" s="25" t="s">
        <v>648</v>
      </c>
      <c r="E14" s="40" t="s">
        <v>670</v>
      </c>
      <c r="F14" s="40" t="s">
        <v>650</v>
      </c>
      <c r="G14" s="40" t="s">
        <v>443</v>
      </c>
      <c r="H14" s="40" t="s">
        <v>651</v>
      </c>
      <c r="I14" s="39" t="s">
        <v>499</v>
      </c>
      <c r="K14" s="40" t="s">
        <v>499</v>
      </c>
    </row>
    <row r="15" spans="1:11" x14ac:dyDescent="0.25">
      <c r="A15" s="23" t="s">
        <v>547</v>
      </c>
      <c r="B15" t="s">
        <v>703</v>
      </c>
      <c r="C15" s="23" t="s">
        <v>704</v>
      </c>
      <c r="D15" s="25" t="s">
        <v>499</v>
      </c>
      <c r="E15" s="40" t="s">
        <v>675</v>
      </c>
      <c r="F15" s="40" t="s">
        <v>657</v>
      </c>
      <c r="G15" s="40" t="s">
        <v>658</v>
      </c>
      <c r="H15" s="40" t="s">
        <v>651</v>
      </c>
      <c r="I15" s="39" t="s">
        <v>499</v>
      </c>
      <c r="K15" s="40" t="s">
        <v>499</v>
      </c>
    </row>
    <row r="16" spans="1:11" x14ac:dyDescent="0.25">
      <c r="A16" s="23" t="s">
        <v>548</v>
      </c>
      <c r="B16" t="s">
        <v>705</v>
      </c>
      <c r="C16" s="23" t="s">
        <v>706</v>
      </c>
      <c r="D16" s="25" t="s">
        <v>499</v>
      </c>
      <c r="E16" s="40" t="s">
        <v>680</v>
      </c>
      <c r="F16" s="40" t="s">
        <v>665</v>
      </c>
      <c r="G16" s="40" t="s">
        <v>658</v>
      </c>
      <c r="H16" s="40" t="s">
        <v>651</v>
      </c>
      <c r="I16" s="39" t="s">
        <v>499</v>
      </c>
      <c r="K16" s="40" t="s">
        <v>499</v>
      </c>
    </row>
    <row r="17" spans="1:11" x14ac:dyDescent="0.25">
      <c r="A17" t="s">
        <v>550</v>
      </c>
      <c r="B17" t="s">
        <v>707</v>
      </c>
      <c r="C17" t="s">
        <v>708</v>
      </c>
      <c r="D17" s="40" t="s">
        <v>648</v>
      </c>
      <c r="E17" s="40" t="s">
        <v>670</v>
      </c>
      <c r="F17" s="40" t="s">
        <v>650</v>
      </c>
      <c r="G17" s="40" t="s">
        <v>443</v>
      </c>
      <c r="H17" s="40" t="s">
        <v>651</v>
      </c>
      <c r="I17" s="39" t="s">
        <v>499</v>
      </c>
      <c r="J17" t="s">
        <v>709</v>
      </c>
      <c r="K17" s="40" t="s">
        <v>499</v>
      </c>
    </row>
    <row r="18" spans="1:11" x14ac:dyDescent="0.25">
      <c r="A18" t="s">
        <v>551</v>
      </c>
      <c r="B18" t="s">
        <v>710</v>
      </c>
      <c r="C18" t="s">
        <v>711</v>
      </c>
      <c r="D18" s="40" t="s">
        <v>712</v>
      </c>
      <c r="E18" s="40" t="s">
        <v>675</v>
      </c>
      <c r="F18" s="40" t="s">
        <v>657</v>
      </c>
      <c r="G18" s="40" t="s">
        <v>658</v>
      </c>
      <c r="H18" s="40" t="s">
        <v>651</v>
      </c>
      <c r="I18" s="39" t="s">
        <v>499</v>
      </c>
      <c r="J18" t="s">
        <v>713</v>
      </c>
      <c r="K18" s="40" t="s">
        <v>499</v>
      </c>
    </row>
    <row r="19" spans="1:11" x14ac:dyDescent="0.25">
      <c r="A19" t="s">
        <v>552</v>
      </c>
      <c r="B19" t="s">
        <v>714</v>
      </c>
      <c r="C19" t="s">
        <v>715</v>
      </c>
      <c r="D19" s="39" t="s">
        <v>663</v>
      </c>
      <c r="E19" s="40" t="s">
        <v>680</v>
      </c>
      <c r="F19" s="40" t="s">
        <v>665</v>
      </c>
      <c r="G19" s="40" t="s">
        <v>658</v>
      </c>
      <c r="H19" s="40" t="s">
        <v>651</v>
      </c>
      <c r="I19" s="39" t="s">
        <v>499</v>
      </c>
      <c r="J19" t="s">
        <v>716</v>
      </c>
      <c r="K19" s="40" t="s">
        <v>499</v>
      </c>
    </row>
    <row r="20" spans="1:11" x14ac:dyDescent="0.25">
      <c r="A20" s="10" t="s">
        <v>554</v>
      </c>
      <c r="B20" t="s">
        <v>717</v>
      </c>
      <c r="C20" t="s">
        <v>718</v>
      </c>
      <c r="D20" s="7" t="s">
        <v>648</v>
      </c>
      <c r="E20" s="40" t="s">
        <v>670</v>
      </c>
      <c r="F20" s="40" t="s">
        <v>650</v>
      </c>
      <c r="G20" s="40" t="s">
        <v>443</v>
      </c>
      <c r="H20" s="40" t="s">
        <v>651</v>
      </c>
      <c r="I20" s="39" t="s">
        <v>499</v>
      </c>
      <c r="J20" t="s">
        <v>719</v>
      </c>
      <c r="K20" s="40" t="s">
        <v>499</v>
      </c>
    </row>
    <row r="21" spans="1:11" x14ac:dyDescent="0.25">
      <c r="A21" s="10" t="s">
        <v>555</v>
      </c>
      <c r="B21" t="s">
        <v>720</v>
      </c>
      <c r="C21" t="s">
        <v>721</v>
      </c>
      <c r="D21" s="7" t="s">
        <v>722</v>
      </c>
      <c r="E21" s="40" t="s">
        <v>675</v>
      </c>
      <c r="F21" s="40" t="s">
        <v>657</v>
      </c>
      <c r="G21" s="40" t="s">
        <v>658</v>
      </c>
      <c r="H21" s="40" t="s">
        <v>651</v>
      </c>
      <c r="I21" s="39" t="s">
        <v>499</v>
      </c>
      <c r="J21" t="s">
        <v>723</v>
      </c>
      <c r="K21" s="40" t="s">
        <v>499</v>
      </c>
    </row>
    <row r="22" spans="1:11" x14ac:dyDescent="0.25">
      <c r="A22" s="10" t="s">
        <v>556</v>
      </c>
      <c r="B22" t="s">
        <v>724</v>
      </c>
      <c r="C22" t="s">
        <v>725</v>
      </c>
      <c r="D22" s="2" t="s">
        <v>663</v>
      </c>
      <c r="E22" s="40" t="s">
        <v>680</v>
      </c>
      <c r="F22" s="40" t="s">
        <v>665</v>
      </c>
      <c r="G22" s="40" t="s">
        <v>658</v>
      </c>
      <c r="H22" s="40" t="s">
        <v>651</v>
      </c>
      <c r="I22" s="39" t="s">
        <v>499</v>
      </c>
      <c r="J22" t="s">
        <v>726</v>
      </c>
      <c r="K22" s="40" t="s">
        <v>499</v>
      </c>
    </row>
    <row r="23" spans="1:11" x14ac:dyDescent="0.25">
      <c r="A23" t="s">
        <v>557</v>
      </c>
      <c r="B23" t="s">
        <v>727</v>
      </c>
      <c r="C23" t="s">
        <v>728</v>
      </c>
      <c r="D23" s="40" t="s">
        <v>648</v>
      </c>
      <c r="E23" s="40" t="s">
        <v>670</v>
      </c>
      <c r="F23" s="40" t="s">
        <v>650</v>
      </c>
      <c r="G23" s="40" t="s">
        <v>443</v>
      </c>
      <c r="H23" s="40" t="s">
        <v>651</v>
      </c>
      <c r="I23" s="39" t="s">
        <v>499</v>
      </c>
      <c r="J23" t="s">
        <v>729</v>
      </c>
      <c r="K23" s="40" t="s">
        <v>499</v>
      </c>
    </row>
    <row r="24" spans="1:11" x14ac:dyDescent="0.25">
      <c r="A24" t="s">
        <v>558</v>
      </c>
      <c r="B24" t="s">
        <v>730</v>
      </c>
      <c r="C24" t="s">
        <v>731</v>
      </c>
      <c r="D24" s="40" t="s">
        <v>732</v>
      </c>
      <c r="E24" s="40" t="s">
        <v>965</v>
      </c>
      <c r="F24" s="40" t="s">
        <v>657</v>
      </c>
      <c r="G24" s="40" t="s">
        <v>658</v>
      </c>
      <c r="H24" s="40" t="s">
        <v>676</v>
      </c>
      <c r="I24" t="s">
        <v>504</v>
      </c>
      <c r="J24" s="40" t="s">
        <v>733</v>
      </c>
      <c r="K24" s="40" t="s">
        <v>499</v>
      </c>
    </row>
    <row r="25" spans="1:11" x14ac:dyDescent="0.25">
      <c r="A25" t="s">
        <v>559</v>
      </c>
      <c r="B25" t="s">
        <v>734</v>
      </c>
      <c r="C25" t="s">
        <v>735</v>
      </c>
      <c r="D25" s="39" t="s">
        <v>736</v>
      </c>
      <c r="E25" s="40" t="s">
        <v>966</v>
      </c>
      <c r="F25" s="40" t="s">
        <v>665</v>
      </c>
      <c r="G25" s="40" t="s">
        <v>658</v>
      </c>
      <c r="H25" s="40" t="s">
        <v>651</v>
      </c>
      <c r="I25" t="s">
        <v>495</v>
      </c>
      <c r="J25" s="40" t="s">
        <v>737</v>
      </c>
      <c r="K25" s="40" t="s">
        <v>499</v>
      </c>
    </row>
    <row r="26" spans="1:11" x14ac:dyDescent="0.25">
      <c r="A26" s="41" t="s">
        <v>560</v>
      </c>
      <c r="B26" t="s">
        <v>738</v>
      </c>
      <c r="C26" s="41" t="s">
        <v>739</v>
      </c>
      <c r="D26" s="25" t="s">
        <v>648</v>
      </c>
      <c r="E26" s="40" t="s">
        <v>649</v>
      </c>
      <c r="F26" s="40" t="s">
        <v>650</v>
      </c>
      <c r="G26" s="40" t="s">
        <v>443</v>
      </c>
      <c r="H26" s="40" t="s">
        <v>651</v>
      </c>
      <c r="I26" s="39" t="s">
        <v>499</v>
      </c>
      <c r="J26" s="40" t="s">
        <v>709</v>
      </c>
      <c r="K26" s="40" t="s">
        <v>499</v>
      </c>
    </row>
    <row r="27" spans="1:11" x14ac:dyDescent="0.25">
      <c r="A27" s="41" t="s">
        <v>561</v>
      </c>
      <c r="B27" t="s">
        <v>740</v>
      </c>
      <c r="C27" s="41" t="s">
        <v>741</v>
      </c>
      <c r="D27" s="40" t="s">
        <v>742</v>
      </c>
      <c r="E27" s="40" t="s">
        <v>743</v>
      </c>
      <c r="F27" s="40" t="s">
        <v>657</v>
      </c>
      <c r="G27" s="40" t="s">
        <v>658</v>
      </c>
      <c r="H27" s="40" t="s">
        <v>651</v>
      </c>
      <c r="I27" s="39" t="s">
        <v>499</v>
      </c>
      <c r="J27" s="40" t="s">
        <v>744</v>
      </c>
      <c r="K27" s="40" t="s">
        <v>363</v>
      </c>
    </row>
    <row r="28" spans="1:11" x14ac:dyDescent="0.25">
      <c r="A28" s="41" t="s">
        <v>562</v>
      </c>
      <c r="B28" t="s">
        <v>745</v>
      </c>
      <c r="C28" s="41" t="s">
        <v>746</v>
      </c>
      <c r="D28" s="39" t="s">
        <v>747</v>
      </c>
      <c r="E28" s="40" t="s">
        <v>748</v>
      </c>
      <c r="F28" s="40" t="s">
        <v>665</v>
      </c>
      <c r="G28" s="40" t="s">
        <v>658</v>
      </c>
      <c r="H28" s="40" t="s">
        <v>651</v>
      </c>
      <c r="I28" s="39" t="s">
        <v>499</v>
      </c>
      <c r="J28" s="40" t="s">
        <v>749</v>
      </c>
      <c r="K28" s="40" t="s">
        <v>372</v>
      </c>
    </row>
    <row r="29" spans="1:11" x14ac:dyDescent="0.25">
      <c r="A29" s="23" t="s">
        <v>565</v>
      </c>
      <c r="B29" t="s">
        <v>750</v>
      </c>
      <c r="C29" t="s">
        <v>751</v>
      </c>
      <c r="D29" s="25" t="s">
        <v>669</v>
      </c>
      <c r="E29" s="40" t="s">
        <v>670</v>
      </c>
      <c r="F29" s="40" t="s">
        <v>650</v>
      </c>
      <c r="G29" s="40" t="s">
        <v>443</v>
      </c>
      <c r="H29" s="40" t="s">
        <v>651</v>
      </c>
      <c r="I29" s="39" t="s">
        <v>499</v>
      </c>
      <c r="K29" s="40" t="s">
        <v>499</v>
      </c>
    </row>
    <row r="30" spans="1:11" x14ac:dyDescent="0.25">
      <c r="A30" s="23" t="s">
        <v>566</v>
      </c>
      <c r="B30" t="s">
        <v>752</v>
      </c>
      <c r="C30" t="s">
        <v>753</v>
      </c>
      <c r="D30" s="25" t="s">
        <v>499</v>
      </c>
      <c r="E30" s="40" t="s">
        <v>675</v>
      </c>
      <c r="F30" s="40" t="s">
        <v>657</v>
      </c>
      <c r="G30" s="40" t="s">
        <v>658</v>
      </c>
      <c r="H30" s="40" t="s">
        <v>651</v>
      </c>
      <c r="I30" s="39" t="s">
        <v>499</v>
      </c>
      <c r="K30" s="40" t="s">
        <v>499</v>
      </c>
    </row>
    <row r="31" spans="1:11" x14ac:dyDescent="0.25">
      <c r="A31" s="23" t="s">
        <v>567</v>
      </c>
      <c r="B31" t="s">
        <v>754</v>
      </c>
      <c r="C31" t="s">
        <v>755</v>
      </c>
      <c r="D31" s="25" t="s">
        <v>499</v>
      </c>
      <c r="E31" s="40" t="s">
        <v>680</v>
      </c>
      <c r="F31" s="40" t="s">
        <v>665</v>
      </c>
      <c r="G31" s="40" t="s">
        <v>658</v>
      </c>
      <c r="H31" s="40" t="s">
        <v>651</v>
      </c>
      <c r="I31" s="39" t="s">
        <v>499</v>
      </c>
      <c r="K31" s="40" t="s">
        <v>499</v>
      </c>
    </row>
    <row r="32" spans="1:11" x14ac:dyDescent="0.25">
      <c r="A32" s="11" t="s">
        <v>570</v>
      </c>
      <c r="B32" t="s">
        <v>756</v>
      </c>
      <c r="C32" t="s">
        <v>757</v>
      </c>
      <c r="D32" s="26" t="s">
        <v>648</v>
      </c>
      <c r="E32" s="40" t="s">
        <v>758</v>
      </c>
      <c r="F32" s="40" t="s">
        <v>650</v>
      </c>
      <c r="G32" s="40" t="s">
        <v>443</v>
      </c>
      <c r="H32" s="40" t="s">
        <v>651</v>
      </c>
      <c r="I32" s="39" t="s">
        <v>499</v>
      </c>
      <c r="J32" t="s">
        <v>729</v>
      </c>
      <c r="K32" s="40" t="s">
        <v>499</v>
      </c>
    </row>
    <row r="33" spans="1:11" x14ac:dyDescent="0.25">
      <c r="A33" s="10" t="s">
        <v>572</v>
      </c>
      <c r="B33" t="s">
        <v>759</v>
      </c>
      <c r="C33" t="s">
        <v>760</v>
      </c>
      <c r="D33" s="7" t="s">
        <v>648</v>
      </c>
      <c r="E33" s="40" t="s">
        <v>670</v>
      </c>
      <c r="F33" s="40" t="s">
        <v>650</v>
      </c>
      <c r="G33" s="40" t="s">
        <v>443</v>
      </c>
      <c r="H33" s="40" t="s">
        <v>651</v>
      </c>
      <c r="I33" s="39" t="s">
        <v>499</v>
      </c>
      <c r="J33" t="s">
        <v>761</v>
      </c>
      <c r="K33" s="40" t="s">
        <v>499</v>
      </c>
    </row>
    <row r="34" spans="1:11" x14ac:dyDescent="0.25">
      <c r="A34" s="10" t="s">
        <v>573</v>
      </c>
      <c r="B34" t="s">
        <v>762</v>
      </c>
      <c r="C34" t="s">
        <v>763</v>
      </c>
      <c r="D34" s="7" t="s">
        <v>764</v>
      </c>
      <c r="E34" s="40" t="s">
        <v>675</v>
      </c>
      <c r="F34" s="40" t="s">
        <v>657</v>
      </c>
      <c r="G34" s="40" t="s">
        <v>658</v>
      </c>
      <c r="H34" s="40" t="s">
        <v>651</v>
      </c>
      <c r="I34" s="39" t="s">
        <v>499</v>
      </c>
      <c r="J34" t="s">
        <v>765</v>
      </c>
      <c r="K34" s="40" t="s">
        <v>499</v>
      </c>
    </row>
    <row r="35" spans="1:11" x14ac:dyDescent="0.25">
      <c r="A35" s="10" t="s">
        <v>574</v>
      </c>
      <c r="B35" t="s">
        <v>766</v>
      </c>
      <c r="C35" t="s">
        <v>767</v>
      </c>
      <c r="D35" s="2" t="s">
        <v>663</v>
      </c>
      <c r="E35" s="40" t="s">
        <v>680</v>
      </c>
      <c r="F35" s="40" t="s">
        <v>665</v>
      </c>
      <c r="G35" s="40" t="s">
        <v>658</v>
      </c>
      <c r="H35" s="40" t="s">
        <v>651</v>
      </c>
      <c r="I35" s="39" t="s">
        <v>499</v>
      </c>
      <c r="J35" t="s">
        <v>768</v>
      </c>
      <c r="K35" s="40" t="s">
        <v>499</v>
      </c>
    </row>
    <row r="36" spans="1:11" x14ac:dyDescent="0.25">
      <c r="A36" t="s">
        <v>575</v>
      </c>
      <c r="B36" t="s">
        <v>769</v>
      </c>
      <c r="C36" t="s">
        <v>770</v>
      </c>
      <c r="D36" s="40" t="s">
        <v>648</v>
      </c>
      <c r="E36" s="40" t="s">
        <v>670</v>
      </c>
      <c r="F36" s="40" t="s">
        <v>650</v>
      </c>
      <c r="G36" s="40" t="s">
        <v>443</v>
      </c>
      <c r="H36" s="40" t="s">
        <v>651</v>
      </c>
      <c r="I36" s="39" t="s">
        <v>499</v>
      </c>
      <c r="J36" t="s">
        <v>771</v>
      </c>
      <c r="K36" s="40" t="s">
        <v>499</v>
      </c>
    </row>
    <row r="37" spans="1:11" x14ac:dyDescent="0.25">
      <c r="A37" t="s">
        <v>576</v>
      </c>
      <c r="B37" t="s">
        <v>772</v>
      </c>
      <c r="C37" t="s">
        <v>773</v>
      </c>
      <c r="D37" s="40" t="s">
        <v>742</v>
      </c>
      <c r="E37" s="40" t="s">
        <v>675</v>
      </c>
      <c r="F37" s="40" t="s">
        <v>657</v>
      </c>
      <c r="G37" s="40" t="s">
        <v>658</v>
      </c>
      <c r="H37" s="40" t="s">
        <v>651</v>
      </c>
      <c r="I37" s="39" t="s">
        <v>499</v>
      </c>
      <c r="J37" t="s">
        <v>774</v>
      </c>
      <c r="K37" s="40" t="s">
        <v>499</v>
      </c>
    </row>
    <row r="38" spans="1:11" x14ac:dyDescent="0.25">
      <c r="A38" t="s">
        <v>577</v>
      </c>
      <c r="B38" t="s">
        <v>775</v>
      </c>
      <c r="C38" t="s">
        <v>776</v>
      </c>
      <c r="D38" s="39" t="s">
        <v>663</v>
      </c>
      <c r="E38" s="40" t="s">
        <v>680</v>
      </c>
      <c r="F38" s="40" t="s">
        <v>665</v>
      </c>
      <c r="G38" s="40" t="s">
        <v>658</v>
      </c>
      <c r="H38" s="40" t="s">
        <v>651</v>
      </c>
      <c r="I38" s="39" t="s">
        <v>499</v>
      </c>
      <c r="J38" t="s">
        <v>777</v>
      </c>
      <c r="K38" s="40" t="s">
        <v>499</v>
      </c>
    </row>
    <row r="39" spans="1:11" x14ac:dyDescent="0.25">
      <c r="A39" s="10" t="s">
        <v>578</v>
      </c>
      <c r="B39" t="s">
        <v>778</v>
      </c>
      <c r="C39" t="s">
        <v>779</v>
      </c>
      <c r="D39" s="7" t="s">
        <v>648</v>
      </c>
      <c r="E39" s="40" t="s">
        <v>670</v>
      </c>
      <c r="F39" s="40" t="s">
        <v>650</v>
      </c>
      <c r="G39" s="40" t="s">
        <v>443</v>
      </c>
      <c r="H39" s="40" t="s">
        <v>651</v>
      </c>
      <c r="I39" s="39" t="s">
        <v>499</v>
      </c>
      <c r="J39" t="s">
        <v>780</v>
      </c>
      <c r="K39" s="40" t="s">
        <v>499</v>
      </c>
    </row>
    <row r="40" spans="1:11" x14ac:dyDescent="0.25">
      <c r="A40" s="10" t="s">
        <v>579</v>
      </c>
      <c r="B40" t="s">
        <v>781</v>
      </c>
      <c r="C40" t="s">
        <v>782</v>
      </c>
      <c r="D40" s="7" t="s">
        <v>783</v>
      </c>
      <c r="E40" s="40" t="s">
        <v>675</v>
      </c>
      <c r="F40" s="40" t="s">
        <v>657</v>
      </c>
      <c r="G40" s="40" t="s">
        <v>658</v>
      </c>
      <c r="H40" s="40" t="s">
        <v>651</v>
      </c>
      <c r="I40" s="39" t="s">
        <v>499</v>
      </c>
      <c r="J40" t="s">
        <v>784</v>
      </c>
      <c r="K40" s="40" t="s">
        <v>499</v>
      </c>
    </row>
    <row r="41" spans="1:11" x14ac:dyDescent="0.25">
      <c r="A41" s="10" t="s">
        <v>580</v>
      </c>
      <c r="B41" t="s">
        <v>785</v>
      </c>
      <c r="C41" t="s">
        <v>786</v>
      </c>
      <c r="D41" s="2" t="s">
        <v>663</v>
      </c>
      <c r="E41" s="40" t="s">
        <v>680</v>
      </c>
      <c r="F41" s="40" t="s">
        <v>665</v>
      </c>
      <c r="G41" s="40" t="s">
        <v>658</v>
      </c>
      <c r="H41" s="40" t="s">
        <v>651</v>
      </c>
      <c r="I41" s="39" t="s">
        <v>499</v>
      </c>
      <c r="J41" t="s">
        <v>777</v>
      </c>
      <c r="K41" s="40" t="s">
        <v>499</v>
      </c>
    </row>
    <row r="42" spans="1:11" x14ac:dyDescent="0.25">
      <c r="A42" t="s">
        <v>581</v>
      </c>
      <c r="B42" t="s">
        <v>787</v>
      </c>
      <c r="C42" t="s">
        <v>788</v>
      </c>
      <c r="D42" s="40" t="s">
        <v>648</v>
      </c>
      <c r="E42" s="40" t="s">
        <v>670</v>
      </c>
      <c r="F42" s="40" t="s">
        <v>650</v>
      </c>
      <c r="G42" s="40" t="s">
        <v>443</v>
      </c>
      <c r="H42" s="40" t="s">
        <v>651</v>
      </c>
      <c r="I42" s="39" t="s">
        <v>499</v>
      </c>
      <c r="J42" t="s">
        <v>789</v>
      </c>
      <c r="K42" s="40" t="s">
        <v>499</v>
      </c>
    </row>
    <row r="43" spans="1:11" x14ac:dyDescent="0.25">
      <c r="A43" t="s">
        <v>582</v>
      </c>
      <c r="B43" t="s">
        <v>790</v>
      </c>
      <c r="C43" t="s">
        <v>791</v>
      </c>
      <c r="D43" s="40" t="s">
        <v>792</v>
      </c>
      <c r="E43" s="40" t="s">
        <v>675</v>
      </c>
      <c r="F43" s="40" t="s">
        <v>657</v>
      </c>
      <c r="G43" s="40" t="s">
        <v>658</v>
      </c>
      <c r="H43" s="40" t="s">
        <v>651</v>
      </c>
      <c r="I43" s="39" t="s">
        <v>499</v>
      </c>
      <c r="J43" t="s">
        <v>793</v>
      </c>
      <c r="K43" s="40" t="s">
        <v>499</v>
      </c>
    </row>
    <row r="44" spans="1:11" x14ac:dyDescent="0.25">
      <c r="A44" t="s">
        <v>583</v>
      </c>
      <c r="B44" t="s">
        <v>794</v>
      </c>
      <c r="C44" t="s">
        <v>795</v>
      </c>
      <c r="D44" s="39" t="s">
        <v>796</v>
      </c>
      <c r="E44" s="40" t="s">
        <v>680</v>
      </c>
      <c r="F44" s="40" t="s">
        <v>665</v>
      </c>
      <c r="G44" s="40" t="s">
        <v>658</v>
      </c>
      <c r="H44" s="40" t="s">
        <v>651</v>
      </c>
      <c r="I44" s="39" t="s">
        <v>499</v>
      </c>
      <c r="J44" t="s">
        <v>797</v>
      </c>
      <c r="K44" s="40" t="s">
        <v>499</v>
      </c>
    </row>
    <row r="45" spans="1:11" x14ac:dyDescent="0.25">
      <c r="A45" s="10" t="s">
        <v>584</v>
      </c>
      <c r="B45" t="s">
        <v>798</v>
      </c>
      <c r="C45" t="s">
        <v>799</v>
      </c>
      <c r="D45" s="7" t="s">
        <v>648</v>
      </c>
      <c r="E45" s="40" t="s">
        <v>670</v>
      </c>
      <c r="F45" s="40" t="s">
        <v>650</v>
      </c>
      <c r="G45" s="40" t="s">
        <v>443</v>
      </c>
      <c r="H45" s="40" t="s">
        <v>651</v>
      </c>
      <c r="I45" s="39" t="s">
        <v>499</v>
      </c>
      <c r="J45" t="s">
        <v>800</v>
      </c>
      <c r="K45" s="40" t="s">
        <v>499</v>
      </c>
    </row>
    <row r="46" spans="1:11" x14ac:dyDescent="0.25">
      <c r="A46" s="10" t="s">
        <v>585</v>
      </c>
      <c r="B46" t="s">
        <v>801</v>
      </c>
      <c r="C46" t="s">
        <v>802</v>
      </c>
      <c r="D46" s="7" t="s">
        <v>742</v>
      </c>
      <c r="E46" s="40" t="s">
        <v>675</v>
      </c>
      <c r="F46" s="40" t="s">
        <v>657</v>
      </c>
      <c r="G46" s="40" t="s">
        <v>658</v>
      </c>
      <c r="H46" s="40" t="s">
        <v>651</v>
      </c>
      <c r="I46" s="39" t="s">
        <v>499</v>
      </c>
      <c r="J46" t="s">
        <v>803</v>
      </c>
      <c r="K46" s="40" t="s">
        <v>499</v>
      </c>
    </row>
    <row r="47" spans="1:11" x14ac:dyDescent="0.25">
      <c r="A47" s="10" t="s">
        <v>586</v>
      </c>
      <c r="B47" t="s">
        <v>804</v>
      </c>
      <c r="C47" t="s">
        <v>805</v>
      </c>
      <c r="D47" s="2" t="s">
        <v>663</v>
      </c>
      <c r="E47" s="40" t="s">
        <v>680</v>
      </c>
      <c r="F47" s="40" t="s">
        <v>665</v>
      </c>
      <c r="G47" s="40" t="s">
        <v>658</v>
      </c>
      <c r="H47" s="40" t="s">
        <v>651</v>
      </c>
      <c r="I47" t="s">
        <v>500</v>
      </c>
      <c r="J47" t="s">
        <v>806</v>
      </c>
      <c r="K47" s="40" t="s">
        <v>499</v>
      </c>
    </row>
    <row r="48" spans="1:11" x14ac:dyDescent="0.25">
      <c r="A48" s="27" t="s">
        <v>571</v>
      </c>
      <c r="B48" s="40" t="s">
        <v>807</v>
      </c>
      <c r="C48" s="40" t="s">
        <v>808</v>
      </c>
      <c r="D48" s="7" t="s">
        <v>499</v>
      </c>
      <c r="E48" s="40" t="s">
        <v>650</v>
      </c>
      <c r="F48" s="40" t="s">
        <v>650</v>
      </c>
      <c r="G48" t="s">
        <v>427</v>
      </c>
      <c r="H48" s="40" t="s">
        <v>651</v>
      </c>
      <c r="I48" s="39" t="s">
        <v>499</v>
      </c>
      <c r="K48" s="40" t="s">
        <v>499</v>
      </c>
    </row>
    <row r="49" spans="1:11" x14ac:dyDescent="0.25">
      <c r="A49" s="11" t="s">
        <v>590</v>
      </c>
      <c r="B49" t="s">
        <v>809</v>
      </c>
      <c r="C49" t="s">
        <v>810</v>
      </c>
      <c r="D49" s="26" t="s">
        <v>648</v>
      </c>
      <c r="E49" s="40" t="s">
        <v>758</v>
      </c>
      <c r="F49" s="40" t="s">
        <v>650</v>
      </c>
      <c r="G49" s="40" t="s">
        <v>443</v>
      </c>
      <c r="H49" s="40" t="s">
        <v>651</v>
      </c>
      <c r="I49" s="39" t="s">
        <v>499</v>
      </c>
      <c r="J49" t="s">
        <v>709</v>
      </c>
      <c r="K49" s="40" t="s">
        <v>499</v>
      </c>
    </row>
    <row r="50" spans="1:11" x14ac:dyDescent="0.25">
      <c r="A50" s="11" t="s">
        <v>593</v>
      </c>
      <c r="B50" t="s">
        <v>811</v>
      </c>
      <c r="C50" t="s">
        <v>812</v>
      </c>
      <c r="D50" s="26" t="s">
        <v>648</v>
      </c>
      <c r="E50" s="40" t="s">
        <v>758</v>
      </c>
      <c r="F50" s="40" t="s">
        <v>650</v>
      </c>
      <c r="G50" s="40" t="s">
        <v>443</v>
      </c>
      <c r="H50" s="40" t="s">
        <v>651</v>
      </c>
      <c r="I50" s="39" t="s">
        <v>499</v>
      </c>
      <c r="J50" t="s">
        <v>709</v>
      </c>
      <c r="K50" s="40" t="s">
        <v>499</v>
      </c>
    </row>
    <row r="51" spans="1:11" x14ac:dyDescent="0.25">
      <c r="A51" s="11" t="s">
        <v>596</v>
      </c>
      <c r="B51" t="s">
        <v>813</v>
      </c>
      <c r="C51" t="s">
        <v>814</v>
      </c>
      <c r="D51" s="26" t="s">
        <v>648</v>
      </c>
      <c r="E51" s="40" t="s">
        <v>758</v>
      </c>
      <c r="F51" s="40" t="s">
        <v>650</v>
      </c>
      <c r="G51" s="40" t="s">
        <v>443</v>
      </c>
      <c r="H51" s="40" t="s">
        <v>651</v>
      </c>
      <c r="I51" s="39" t="s">
        <v>499</v>
      </c>
      <c r="J51" t="s">
        <v>729</v>
      </c>
      <c r="K51" s="40" t="s">
        <v>499</v>
      </c>
    </row>
    <row r="52" spans="1:11" x14ac:dyDescent="0.25">
      <c r="A52" s="11" t="s">
        <v>599</v>
      </c>
      <c r="B52" t="s">
        <v>815</v>
      </c>
      <c r="C52" t="s">
        <v>816</v>
      </c>
      <c r="D52" s="26" t="s">
        <v>648</v>
      </c>
      <c r="E52" s="40" t="s">
        <v>758</v>
      </c>
      <c r="F52" s="40" t="s">
        <v>650</v>
      </c>
      <c r="G52" s="40" t="s">
        <v>443</v>
      </c>
      <c r="H52" s="40" t="s">
        <v>651</v>
      </c>
      <c r="I52" s="39" t="s">
        <v>499</v>
      </c>
      <c r="J52" t="s">
        <v>709</v>
      </c>
      <c r="K52" s="40" t="s">
        <v>499</v>
      </c>
    </row>
    <row r="53" spans="1:11" x14ac:dyDescent="0.25">
      <c r="A53" s="11" t="s">
        <v>602</v>
      </c>
      <c r="B53" t="s">
        <v>817</v>
      </c>
      <c r="C53" t="s">
        <v>818</v>
      </c>
      <c r="D53" s="26" t="s">
        <v>648</v>
      </c>
      <c r="E53" s="40" t="s">
        <v>758</v>
      </c>
      <c r="F53" s="40" t="s">
        <v>650</v>
      </c>
      <c r="G53" s="40" t="s">
        <v>443</v>
      </c>
      <c r="H53" s="40" t="s">
        <v>651</v>
      </c>
      <c r="I53" s="39" t="s">
        <v>499</v>
      </c>
      <c r="J53" t="s">
        <v>729</v>
      </c>
      <c r="K53" s="40" t="s">
        <v>499</v>
      </c>
    </row>
    <row r="54" spans="1:11" x14ac:dyDescent="0.25">
      <c r="A54" s="11" t="s">
        <v>605</v>
      </c>
      <c r="B54" t="s">
        <v>819</v>
      </c>
      <c r="C54" t="s">
        <v>820</v>
      </c>
      <c r="D54" s="26" t="s">
        <v>648</v>
      </c>
      <c r="E54" s="40" t="s">
        <v>758</v>
      </c>
      <c r="F54" s="40" t="s">
        <v>650</v>
      </c>
      <c r="G54" s="40" t="s">
        <v>443</v>
      </c>
      <c r="H54" s="40" t="s">
        <v>651</v>
      </c>
      <c r="I54" s="39" t="s">
        <v>499</v>
      </c>
      <c r="J54" t="s">
        <v>709</v>
      </c>
      <c r="K54" s="40" t="s">
        <v>499</v>
      </c>
    </row>
    <row r="55" spans="1:11" x14ac:dyDescent="0.25">
      <c r="A55" s="11" t="s">
        <v>608</v>
      </c>
      <c r="B55" t="s">
        <v>821</v>
      </c>
      <c r="C55" t="s">
        <v>822</v>
      </c>
      <c r="D55" s="26" t="s">
        <v>648</v>
      </c>
      <c r="E55" s="40" t="s">
        <v>758</v>
      </c>
      <c r="F55" s="40" t="s">
        <v>650</v>
      </c>
      <c r="G55" s="40" t="s">
        <v>443</v>
      </c>
      <c r="H55" s="40" t="s">
        <v>651</v>
      </c>
      <c r="I55" s="39" t="s">
        <v>499</v>
      </c>
      <c r="J55" t="s">
        <v>729</v>
      </c>
      <c r="K55" s="40" t="s">
        <v>499</v>
      </c>
    </row>
    <row r="56" spans="1:11" x14ac:dyDescent="0.25">
      <c r="A56" s="11" t="s">
        <v>611</v>
      </c>
      <c r="B56" t="s">
        <v>823</v>
      </c>
      <c r="C56" t="s">
        <v>824</v>
      </c>
      <c r="D56" s="26" t="s">
        <v>648</v>
      </c>
      <c r="E56" s="40" t="s">
        <v>758</v>
      </c>
      <c r="F56" s="40" t="s">
        <v>650</v>
      </c>
      <c r="G56" s="40" t="s">
        <v>443</v>
      </c>
      <c r="H56" s="40" t="s">
        <v>651</v>
      </c>
      <c r="I56" s="39" t="s">
        <v>499</v>
      </c>
      <c r="J56" t="s">
        <v>729</v>
      </c>
      <c r="K56" s="40" t="s">
        <v>499</v>
      </c>
    </row>
    <row r="57" spans="1:11" x14ac:dyDescent="0.25">
      <c r="A57" s="41" t="s">
        <v>612</v>
      </c>
      <c r="B57" t="s">
        <v>825</v>
      </c>
      <c r="C57" s="41" t="s">
        <v>826</v>
      </c>
      <c r="D57" s="7" t="s">
        <v>648</v>
      </c>
      <c r="E57" s="40" t="s">
        <v>827</v>
      </c>
      <c r="F57" s="40" t="s">
        <v>650</v>
      </c>
      <c r="G57" s="40" t="s">
        <v>443</v>
      </c>
      <c r="H57" s="40" t="s">
        <v>651</v>
      </c>
      <c r="I57" s="39" t="s">
        <v>499</v>
      </c>
      <c r="J57" s="28" t="s">
        <v>828</v>
      </c>
      <c r="K57" s="40" t="s">
        <v>366</v>
      </c>
    </row>
    <row r="58" spans="1:11" x14ac:dyDescent="0.25">
      <c r="A58" s="41" t="s">
        <v>613</v>
      </c>
      <c r="B58" t="s">
        <v>829</v>
      </c>
      <c r="C58" s="41" t="s">
        <v>830</v>
      </c>
      <c r="D58" s="7" t="s">
        <v>674</v>
      </c>
      <c r="E58" s="40" t="s">
        <v>831</v>
      </c>
      <c r="F58" s="40" t="s">
        <v>832</v>
      </c>
      <c r="G58" s="39" t="s">
        <v>427</v>
      </c>
      <c r="H58" s="40" t="s">
        <v>833</v>
      </c>
      <c r="I58" s="39" t="s">
        <v>499</v>
      </c>
      <c r="J58" s="28" t="s">
        <v>834</v>
      </c>
      <c r="K58" s="40" t="s">
        <v>499</v>
      </c>
    </row>
    <row r="59" spans="1:11" x14ac:dyDescent="0.25">
      <c r="A59" s="41" t="s">
        <v>614</v>
      </c>
      <c r="B59" t="s">
        <v>835</v>
      </c>
      <c r="C59" s="41" t="s">
        <v>836</v>
      </c>
      <c r="D59" s="39" t="s">
        <v>663</v>
      </c>
      <c r="E59" s="40" t="s">
        <v>837</v>
      </c>
      <c r="F59" s="40" t="s">
        <v>838</v>
      </c>
      <c r="G59" s="40" t="s">
        <v>658</v>
      </c>
      <c r="H59" s="40" t="s">
        <v>651</v>
      </c>
      <c r="I59" s="39" t="s">
        <v>499</v>
      </c>
      <c r="J59" s="28" t="s">
        <v>839</v>
      </c>
      <c r="K59" s="40" t="s">
        <v>369</v>
      </c>
    </row>
    <row r="60" spans="1:11" x14ac:dyDescent="0.25">
      <c r="A60" t="s">
        <v>617</v>
      </c>
      <c r="B60" t="s">
        <v>840</v>
      </c>
      <c r="C60" t="s">
        <v>841</v>
      </c>
      <c r="D60" s="40" t="s">
        <v>648</v>
      </c>
      <c r="E60" s="40" t="s">
        <v>670</v>
      </c>
      <c r="F60" s="40" t="s">
        <v>650</v>
      </c>
      <c r="G60" s="40" t="s">
        <v>443</v>
      </c>
      <c r="H60" s="40" t="s">
        <v>651</v>
      </c>
      <c r="I60" s="39" t="s">
        <v>499</v>
      </c>
      <c r="J60" s="28" t="s">
        <v>684</v>
      </c>
      <c r="K60" s="40" t="s">
        <v>499</v>
      </c>
    </row>
    <row r="61" spans="1:11" x14ac:dyDescent="0.25">
      <c r="A61" t="s">
        <v>618</v>
      </c>
      <c r="B61" t="s">
        <v>842</v>
      </c>
      <c r="C61" t="s">
        <v>843</v>
      </c>
      <c r="D61" s="40" t="s">
        <v>674</v>
      </c>
      <c r="E61" s="40" t="s">
        <v>964</v>
      </c>
      <c r="F61" s="40" t="s">
        <v>657</v>
      </c>
      <c r="G61" t="s">
        <v>427</v>
      </c>
      <c r="H61" s="40" t="s">
        <v>676</v>
      </c>
      <c r="I61" s="39" t="s">
        <v>499</v>
      </c>
      <c r="J61" s="28" t="s">
        <v>687</v>
      </c>
      <c r="K61" s="40" t="s">
        <v>499</v>
      </c>
    </row>
    <row r="62" spans="1:11" x14ac:dyDescent="0.25">
      <c r="A62" t="s">
        <v>619</v>
      </c>
      <c r="B62" t="s">
        <v>844</v>
      </c>
      <c r="C62" t="s">
        <v>845</v>
      </c>
      <c r="D62" s="39" t="s">
        <v>663</v>
      </c>
      <c r="E62" s="40" t="s">
        <v>680</v>
      </c>
      <c r="F62" s="40" t="s">
        <v>665</v>
      </c>
      <c r="G62" s="40" t="s">
        <v>658</v>
      </c>
      <c r="H62" s="40" t="s">
        <v>651</v>
      </c>
      <c r="I62" s="39" t="s">
        <v>499</v>
      </c>
      <c r="J62" s="28" t="s">
        <v>690</v>
      </c>
      <c r="K62" s="40" t="s">
        <v>499</v>
      </c>
    </row>
    <row r="63" spans="1:11" x14ac:dyDescent="0.25">
      <c r="A63" s="10" t="s">
        <v>626</v>
      </c>
      <c r="B63" t="s">
        <v>846</v>
      </c>
      <c r="C63" t="s">
        <v>847</v>
      </c>
      <c r="D63" s="40" t="s">
        <v>648</v>
      </c>
      <c r="E63" s="40" t="s">
        <v>670</v>
      </c>
      <c r="F63" s="40" t="s">
        <v>650</v>
      </c>
      <c r="G63" s="40" t="s">
        <v>443</v>
      </c>
      <c r="H63" s="40" t="s">
        <v>651</v>
      </c>
      <c r="I63" s="39" t="s">
        <v>499</v>
      </c>
      <c r="J63" s="28" t="s">
        <v>800</v>
      </c>
      <c r="K63" s="40" t="s">
        <v>499</v>
      </c>
    </row>
    <row r="64" spans="1:11" x14ac:dyDescent="0.25">
      <c r="A64" s="10" t="s">
        <v>627</v>
      </c>
      <c r="B64" t="s">
        <v>848</v>
      </c>
      <c r="C64" t="s">
        <v>849</v>
      </c>
      <c r="D64" s="40" t="s">
        <v>850</v>
      </c>
      <c r="E64" s="40" t="s">
        <v>675</v>
      </c>
      <c r="F64" s="40" t="s">
        <v>657</v>
      </c>
      <c r="G64" s="40" t="s">
        <v>658</v>
      </c>
      <c r="H64" s="40" t="s">
        <v>651</v>
      </c>
      <c r="I64" s="39" t="s">
        <v>499</v>
      </c>
      <c r="J64" s="28" t="s">
        <v>851</v>
      </c>
      <c r="K64" s="40" t="s">
        <v>499</v>
      </c>
    </row>
    <row r="65" spans="1:11" x14ac:dyDescent="0.25">
      <c r="A65" s="10" t="s">
        <v>628</v>
      </c>
      <c r="B65" t="s">
        <v>852</v>
      </c>
      <c r="C65" t="s">
        <v>853</v>
      </c>
      <c r="D65" s="39" t="s">
        <v>663</v>
      </c>
      <c r="E65" s="40" t="s">
        <v>680</v>
      </c>
      <c r="F65" s="40" t="s">
        <v>665</v>
      </c>
      <c r="G65" s="40" t="s">
        <v>658</v>
      </c>
      <c r="H65" s="40" t="s">
        <v>651</v>
      </c>
      <c r="I65" s="39" t="s">
        <v>522</v>
      </c>
      <c r="J65" t="s">
        <v>854</v>
      </c>
      <c r="K65" s="40" t="s">
        <v>499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J16" sqref="J16"/>
    </sheetView>
  </sheetViews>
  <sheetFormatPr defaultRowHeight="15" x14ac:dyDescent="0.25"/>
  <cols>
    <col min="1" max="1" width="22.140625" style="38" bestFit="1" customWidth="1"/>
  </cols>
  <sheetData>
    <row r="1" spans="1:4" x14ac:dyDescent="0.25">
      <c r="A1" s="44" t="s">
        <v>0</v>
      </c>
      <c r="B1" s="44" t="s">
        <v>460</v>
      </c>
      <c r="C1" s="44" t="s">
        <v>470</v>
      </c>
      <c r="D1" s="44" t="s">
        <v>468</v>
      </c>
    </row>
    <row r="2" spans="1:4" x14ac:dyDescent="0.25">
      <c r="A2" t="s">
        <v>207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211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213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215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s="23" t="s">
        <v>217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219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221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223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225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s="23" t="s">
        <v>563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s="11" t="s">
        <v>568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s="22" t="s">
        <v>231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s="22" t="s">
        <v>233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s="22" t="s">
        <v>235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s="22" t="s">
        <v>237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s="22" t="s">
        <v>239</v>
      </c>
      <c r="B17">
        <f>ROUND(CharacterStat!F17 * 0.05, 0)</f>
        <v>284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s="11" t="s">
        <v>587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s="11" t="s">
        <v>591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s="11" t="s">
        <v>594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s="11" t="s">
        <v>597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s="11" t="s">
        <v>600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s="11" t="s">
        <v>603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s="11" t="s">
        <v>606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s="11" t="s">
        <v>609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227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615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620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621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622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623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624</v>
      </c>
      <c r="B32">
        <f>ROUND(CharacterStat!F32 * 0.05, 0)</f>
        <v>351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8" bestFit="1" customWidth="1"/>
    <col min="4" max="4" width="13.5703125" style="38" bestFit="1" customWidth="1"/>
    <col min="6" max="6" width="15.140625" style="38" customWidth="1"/>
  </cols>
  <sheetData>
    <row r="1" spans="1:6" x14ac:dyDescent="0.25">
      <c r="A1" s="16" t="s">
        <v>0</v>
      </c>
      <c r="B1" s="16" t="s">
        <v>25</v>
      </c>
      <c r="C1" s="16" t="s">
        <v>316</v>
      </c>
      <c r="D1" s="16" t="s">
        <v>855</v>
      </c>
      <c r="E1" s="16" t="s">
        <v>856</v>
      </c>
      <c r="F1" s="16" t="s">
        <v>857</v>
      </c>
    </row>
    <row r="2" spans="1:6" x14ac:dyDescent="0.25">
      <c r="A2" t="s">
        <v>207</v>
      </c>
      <c r="B2" s="2" t="s">
        <v>530</v>
      </c>
      <c r="C2" s="18" t="s">
        <v>320</v>
      </c>
      <c r="D2" s="39" t="s">
        <v>460</v>
      </c>
      <c r="E2" s="39" t="s">
        <v>313</v>
      </c>
      <c r="F2" s="39" t="s">
        <v>858</v>
      </c>
    </row>
    <row r="3" spans="1:6" x14ac:dyDescent="0.25">
      <c r="A3" t="s">
        <v>211</v>
      </c>
      <c r="B3" s="17" t="s">
        <v>535</v>
      </c>
      <c r="C3" s="10" t="s">
        <v>325</v>
      </c>
      <c r="D3" s="39" t="s">
        <v>460</v>
      </c>
      <c r="E3" s="39" t="s">
        <v>313</v>
      </c>
      <c r="F3" s="39" t="s">
        <v>858</v>
      </c>
    </row>
    <row r="4" spans="1:6" x14ac:dyDescent="0.25">
      <c r="A4" t="s">
        <v>213</v>
      </c>
      <c r="B4" s="14" t="s">
        <v>549</v>
      </c>
      <c r="C4" s="19" t="s">
        <v>327</v>
      </c>
      <c r="D4" s="39" t="s">
        <v>460</v>
      </c>
      <c r="E4" s="39" t="s">
        <v>313</v>
      </c>
      <c r="F4" s="39" t="s">
        <v>858</v>
      </c>
    </row>
    <row r="5" spans="1:6" x14ac:dyDescent="0.25">
      <c r="A5" t="s">
        <v>215</v>
      </c>
      <c r="B5" s="3" t="s">
        <v>539</v>
      </c>
      <c r="C5" s="20" t="s">
        <v>338</v>
      </c>
      <c r="D5" s="39" t="s">
        <v>460</v>
      </c>
      <c r="E5" s="39" t="s">
        <v>313</v>
      </c>
      <c r="F5" s="39" t="s">
        <v>858</v>
      </c>
    </row>
    <row r="6" spans="1:6" x14ac:dyDescent="0.25">
      <c r="A6" t="s">
        <v>217</v>
      </c>
      <c r="B6" s="3" t="s">
        <v>539</v>
      </c>
      <c r="C6" s="20" t="s">
        <v>338</v>
      </c>
      <c r="D6" s="39" t="s">
        <v>460</v>
      </c>
      <c r="E6" s="39" t="s">
        <v>313</v>
      </c>
      <c r="F6" s="39" t="s">
        <v>858</v>
      </c>
    </row>
    <row r="7" spans="1:6" x14ac:dyDescent="0.25">
      <c r="A7" t="s">
        <v>219</v>
      </c>
      <c r="B7" s="14" t="s">
        <v>549</v>
      </c>
      <c r="C7" s="21" t="s">
        <v>323</v>
      </c>
      <c r="D7" s="39" t="s">
        <v>460</v>
      </c>
      <c r="E7" s="39" t="s">
        <v>313</v>
      </c>
      <c r="F7" s="39" t="s">
        <v>858</v>
      </c>
    </row>
    <row r="8" spans="1:6" x14ac:dyDescent="0.25">
      <c r="A8" t="s">
        <v>221</v>
      </c>
      <c r="B8" s="3" t="s">
        <v>539</v>
      </c>
      <c r="C8" s="11" t="s">
        <v>553</v>
      </c>
      <c r="D8" s="39" t="s">
        <v>460</v>
      </c>
      <c r="E8" s="39" t="s">
        <v>313</v>
      </c>
      <c r="F8" s="39" t="s">
        <v>858</v>
      </c>
    </row>
    <row r="9" spans="1:6" x14ac:dyDescent="0.25">
      <c r="A9" t="s">
        <v>223</v>
      </c>
      <c r="B9" s="2" t="s">
        <v>530</v>
      </c>
      <c r="C9" s="19" t="s">
        <v>327</v>
      </c>
      <c r="D9" s="39" t="s">
        <v>460</v>
      </c>
      <c r="E9" s="39" t="s">
        <v>313</v>
      </c>
      <c r="F9" s="39" t="s">
        <v>858</v>
      </c>
    </row>
    <row r="10" spans="1:6" x14ac:dyDescent="0.25">
      <c r="A10" t="s">
        <v>225</v>
      </c>
      <c r="B10" s="2" t="s">
        <v>530</v>
      </c>
      <c r="C10" s="19" t="s">
        <v>327</v>
      </c>
      <c r="D10" s="39" t="s">
        <v>460</v>
      </c>
      <c r="E10" s="39" t="s">
        <v>313</v>
      </c>
      <c r="F10" s="39" t="s">
        <v>858</v>
      </c>
    </row>
    <row r="11" spans="1:6" x14ac:dyDescent="0.25">
      <c r="A11" t="s">
        <v>563</v>
      </c>
      <c r="B11" s="2" t="s">
        <v>530</v>
      </c>
      <c r="C11" s="10" t="s">
        <v>325</v>
      </c>
      <c r="D11" s="39" t="s">
        <v>460</v>
      </c>
      <c r="E11" s="39" t="s">
        <v>313</v>
      </c>
      <c r="F11" s="39" t="s">
        <v>858</v>
      </c>
    </row>
    <row r="12" spans="1:6" x14ac:dyDescent="0.25">
      <c r="A12" s="22" t="s">
        <v>229</v>
      </c>
      <c r="B12" s="17" t="s">
        <v>535</v>
      </c>
      <c r="C12" s="18" t="s">
        <v>320</v>
      </c>
      <c r="D12" s="39" t="s">
        <v>460</v>
      </c>
      <c r="E12" s="39" t="s">
        <v>313</v>
      </c>
      <c r="F12" s="39" t="s">
        <v>858</v>
      </c>
    </row>
    <row r="13" spans="1:6" x14ac:dyDescent="0.25">
      <c r="A13" s="22" t="s">
        <v>231</v>
      </c>
      <c r="B13" s="2" t="s">
        <v>530</v>
      </c>
      <c r="C13" s="21" t="s">
        <v>323</v>
      </c>
      <c r="D13" s="39" t="s">
        <v>460</v>
      </c>
      <c r="E13" s="39" t="s">
        <v>313</v>
      </c>
      <c r="F13" s="39" t="s">
        <v>858</v>
      </c>
    </row>
    <row r="14" spans="1:6" x14ac:dyDescent="0.25">
      <c r="A14" s="22" t="s">
        <v>233</v>
      </c>
      <c r="B14" s="14" t="s">
        <v>549</v>
      </c>
      <c r="C14" s="10" t="s">
        <v>325</v>
      </c>
      <c r="D14" s="39" t="s">
        <v>460</v>
      </c>
      <c r="E14" s="39" t="s">
        <v>313</v>
      </c>
      <c r="F14" s="39" t="s">
        <v>858</v>
      </c>
    </row>
    <row r="15" spans="1:6" x14ac:dyDescent="0.25">
      <c r="A15" s="22" t="s">
        <v>235</v>
      </c>
      <c r="B15" s="14" t="s">
        <v>549</v>
      </c>
      <c r="C15" s="10" t="s">
        <v>325</v>
      </c>
      <c r="D15" s="39" t="s">
        <v>460</v>
      </c>
      <c r="E15" s="39" t="s">
        <v>313</v>
      </c>
      <c r="F15" s="39" t="s">
        <v>858</v>
      </c>
    </row>
    <row r="16" spans="1:6" x14ac:dyDescent="0.25">
      <c r="A16" s="22" t="s">
        <v>237</v>
      </c>
      <c r="B16" s="2" t="s">
        <v>530</v>
      </c>
      <c r="C16" s="21" t="s">
        <v>323</v>
      </c>
      <c r="D16" s="39" t="s">
        <v>460</v>
      </c>
      <c r="E16" s="39" t="s">
        <v>313</v>
      </c>
      <c r="F16" s="39" t="s">
        <v>858</v>
      </c>
    </row>
    <row r="17" spans="1:6" x14ac:dyDescent="0.25">
      <c r="A17" s="22" t="s">
        <v>239</v>
      </c>
      <c r="B17" s="14" t="s">
        <v>549</v>
      </c>
      <c r="C17" s="18" t="s">
        <v>320</v>
      </c>
      <c r="D17" s="39" t="s">
        <v>460</v>
      </c>
      <c r="E17" s="39" t="s">
        <v>313</v>
      </c>
      <c r="F17" s="39" t="s">
        <v>858</v>
      </c>
    </row>
    <row r="18" spans="1:6" x14ac:dyDescent="0.25">
      <c r="A18" s="22" t="s">
        <v>587</v>
      </c>
      <c r="B18" s="17" t="s">
        <v>535</v>
      </c>
      <c r="C18" s="18" t="s">
        <v>320</v>
      </c>
      <c r="D18" s="39" t="s">
        <v>460</v>
      </c>
      <c r="E18" s="39" t="s">
        <v>313</v>
      </c>
      <c r="F18" s="39" t="s">
        <v>858</v>
      </c>
    </row>
    <row r="19" spans="1:6" x14ac:dyDescent="0.25">
      <c r="A19" s="22" t="s">
        <v>591</v>
      </c>
      <c r="B19" s="17" t="s">
        <v>535</v>
      </c>
      <c r="C19" s="18" t="s">
        <v>320</v>
      </c>
      <c r="D19" s="39" t="s">
        <v>460</v>
      </c>
      <c r="E19" s="39" t="s">
        <v>313</v>
      </c>
      <c r="F19" s="39" t="s">
        <v>858</v>
      </c>
    </row>
    <row r="20" spans="1:6" x14ac:dyDescent="0.25">
      <c r="A20" s="22" t="s">
        <v>594</v>
      </c>
      <c r="B20" s="17" t="s">
        <v>535</v>
      </c>
      <c r="C20" s="18" t="s">
        <v>320</v>
      </c>
      <c r="D20" s="39" t="s">
        <v>460</v>
      </c>
      <c r="E20" s="39" t="s">
        <v>313</v>
      </c>
      <c r="F20" s="39" t="s">
        <v>858</v>
      </c>
    </row>
    <row r="21" spans="1:6" x14ac:dyDescent="0.25">
      <c r="A21" s="22" t="s">
        <v>597</v>
      </c>
      <c r="B21" s="17" t="s">
        <v>535</v>
      </c>
      <c r="C21" s="18" t="s">
        <v>320</v>
      </c>
      <c r="D21" s="39" t="s">
        <v>460</v>
      </c>
      <c r="E21" s="39" t="s">
        <v>313</v>
      </c>
      <c r="F21" s="39" t="s">
        <v>858</v>
      </c>
    </row>
    <row r="22" spans="1:6" x14ac:dyDescent="0.25">
      <c r="A22" s="22" t="s">
        <v>600</v>
      </c>
      <c r="B22" s="17" t="s">
        <v>535</v>
      </c>
      <c r="C22" s="18" t="s">
        <v>320</v>
      </c>
      <c r="D22" s="39" t="s">
        <v>460</v>
      </c>
      <c r="E22" s="39" t="s">
        <v>313</v>
      </c>
      <c r="F22" s="39" t="s">
        <v>858</v>
      </c>
    </row>
    <row r="23" spans="1:6" x14ac:dyDescent="0.25">
      <c r="A23" s="22" t="s">
        <v>603</v>
      </c>
      <c r="B23" s="17" t="s">
        <v>535</v>
      </c>
      <c r="C23" s="18" t="s">
        <v>320</v>
      </c>
      <c r="D23" s="39" t="s">
        <v>460</v>
      </c>
      <c r="E23" s="39" t="s">
        <v>313</v>
      </c>
      <c r="F23" s="39" t="s">
        <v>858</v>
      </c>
    </row>
    <row r="24" spans="1:6" x14ac:dyDescent="0.25">
      <c r="A24" s="22" t="s">
        <v>606</v>
      </c>
      <c r="B24" s="17" t="s">
        <v>535</v>
      </c>
      <c r="C24" s="18" t="s">
        <v>320</v>
      </c>
      <c r="D24" s="39" t="s">
        <v>460</v>
      </c>
      <c r="E24" s="39" t="s">
        <v>313</v>
      </c>
      <c r="F24" s="39" t="s">
        <v>858</v>
      </c>
    </row>
    <row r="25" spans="1:6" x14ac:dyDescent="0.25">
      <c r="A25" s="22" t="s">
        <v>609</v>
      </c>
      <c r="B25" s="17" t="s">
        <v>535</v>
      </c>
      <c r="C25" s="18" t="s">
        <v>320</v>
      </c>
      <c r="D25" s="39" t="s">
        <v>460</v>
      </c>
      <c r="E25" s="39" t="s">
        <v>313</v>
      </c>
      <c r="F25" s="39" t="s">
        <v>858</v>
      </c>
    </row>
    <row r="26" spans="1:6" x14ac:dyDescent="0.25">
      <c r="A26" t="s">
        <v>227</v>
      </c>
      <c r="B26" s="14" t="s">
        <v>549</v>
      </c>
      <c r="C26" s="19" t="s">
        <v>327</v>
      </c>
      <c r="D26" s="39" t="s">
        <v>460</v>
      </c>
      <c r="E26" s="39" t="s">
        <v>313</v>
      </c>
      <c r="F26" s="39" t="s">
        <v>858</v>
      </c>
    </row>
    <row r="27" spans="1:6" x14ac:dyDescent="0.25">
      <c r="A27" t="s">
        <v>615</v>
      </c>
      <c r="B27" s="14" t="s">
        <v>549</v>
      </c>
      <c r="C27" s="19" t="s">
        <v>327</v>
      </c>
      <c r="D27" s="39" t="s">
        <v>460</v>
      </c>
      <c r="E27" s="39" t="s">
        <v>313</v>
      </c>
      <c r="F27" s="39" t="s">
        <v>858</v>
      </c>
    </row>
    <row r="28" spans="1:6" x14ac:dyDescent="0.25">
      <c r="A28" t="s">
        <v>620</v>
      </c>
      <c r="B28" s="14" t="s">
        <v>549</v>
      </c>
      <c r="C28" s="21" t="s">
        <v>323</v>
      </c>
      <c r="D28" s="39" t="s">
        <v>460</v>
      </c>
      <c r="E28" s="39" t="s">
        <v>313</v>
      </c>
      <c r="F28" s="39" t="s">
        <v>858</v>
      </c>
    </row>
    <row r="29" spans="1:6" x14ac:dyDescent="0.25">
      <c r="A29" t="s">
        <v>621</v>
      </c>
      <c r="B29" s="2" t="s">
        <v>530</v>
      </c>
      <c r="C29" s="19" t="s">
        <v>327</v>
      </c>
      <c r="D29" s="39" t="s">
        <v>460</v>
      </c>
      <c r="E29" s="39" t="s">
        <v>313</v>
      </c>
      <c r="F29" s="39" t="s">
        <v>858</v>
      </c>
    </row>
    <row r="30" spans="1:6" x14ac:dyDescent="0.25">
      <c r="A30" t="s">
        <v>622</v>
      </c>
      <c r="B30" s="2" t="s">
        <v>530</v>
      </c>
      <c r="C30" s="19" t="s">
        <v>327</v>
      </c>
      <c r="D30" s="39" t="s">
        <v>460</v>
      </c>
      <c r="E30" s="39" t="s">
        <v>313</v>
      </c>
      <c r="F30" s="39" t="s">
        <v>858</v>
      </c>
    </row>
    <row r="31" spans="1:6" x14ac:dyDescent="0.25">
      <c r="A31" t="s">
        <v>623</v>
      </c>
      <c r="B31" s="14" t="s">
        <v>549</v>
      </c>
      <c r="C31" s="19" t="s">
        <v>327</v>
      </c>
      <c r="D31" s="39" t="s">
        <v>460</v>
      </c>
      <c r="E31" s="39" t="s">
        <v>313</v>
      </c>
      <c r="F31" s="39" t="s">
        <v>858</v>
      </c>
    </row>
    <row r="32" spans="1:6" x14ac:dyDescent="0.25">
      <c r="A32" t="s">
        <v>624</v>
      </c>
      <c r="B32" s="2" t="s">
        <v>530</v>
      </c>
      <c r="C32" s="18" t="s">
        <v>320</v>
      </c>
      <c r="D32" s="39" t="s">
        <v>460</v>
      </c>
      <c r="E32" s="39" t="s">
        <v>313</v>
      </c>
      <c r="F32" s="39" t="s">
        <v>858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40" workbookViewId="0">
      <selection activeCell="K35" sqref="K35"/>
    </sheetView>
  </sheetViews>
  <sheetFormatPr defaultRowHeight="15" x14ac:dyDescent="0.25"/>
  <cols>
    <col min="2" max="2" width="9.28515625" style="38" customWidth="1"/>
    <col min="3" max="3" width="10.85546875" style="38" customWidth="1"/>
    <col min="4" max="4" width="12.7109375" style="38" customWidth="1"/>
    <col min="5" max="5" width="12.28515625" style="38" customWidth="1"/>
    <col min="6" max="6" width="13.140625" style="38" customWidth="1"/>
    <col min="7" max="7" width="14" style="38" bestFit="1" customWidth="1"/>
    <col min="8" max="8" width="14.85546875" style="38" customWidth="1"/>
    <col min="9" max="9" width="13.140625" style="38" customWidth="1"/>
    <col min="10" max="10" width="12.42578125" style="38" customWidth="1"/>
    <col min="11" max="11" width="15.28515625" style="38" customWidth="1"/>
  </cols>
  <sheetData>
    <row r="1" spans="1:17" x14ac:dyDescent="0.25">
      <c r="A1" s="16" t="s">
        <v>859</v>
      </c>
      <c r="B1" s="16" t="s">
        <v>860</v>
      </c>
      <c r="C1" s="16" t="s">
        <v>861</v>
      </c>
      <c r="D1" s="16" t="s">
        <v>862</v>
      </c>
      <c r="E1" s="16" t="s">
        <v>863</v>
      </c>
      <c r="F1" s="16" t="s">
        <v>864</v>
      </c>
      <c r="G1" s="16" t="s">
        <v>865</v>
      </c>
      <c r="H1" s="16" t="s">
        <v>866</v>
      </c>
      <c r="I1" s="16" t="s">
        <v>867</v>
      </c>
    </row>
    <row r="2" spans="1:17" x14ac:dyDescent="0.25">
      <c r="A2" s="39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860</v>
      </c>
      <c r="O2" s="16" t="s">
        <v>861</v>
      </c>
      <c r="P2" s="16" t="s">
        <v>862</v>
      </c>
      <c r="Q2" s="16" t="s">
        <v>863</v>
      </c>
    </row>
    <row r="3" spans="1:17" x14ac:dyDescent="0.25">
      <c r="A3" s="40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868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9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869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40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9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40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9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40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9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40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9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40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9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40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9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40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9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40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9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40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9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40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9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40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9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40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9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40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9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40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9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40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9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40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9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40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9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40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9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40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9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40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9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40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9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40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9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40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9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40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9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40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9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40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9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40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9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40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9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40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9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40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9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40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9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40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9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40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9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40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9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40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9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40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9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40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9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40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9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40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9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40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9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40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9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40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9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40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9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40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9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40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9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40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9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40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9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40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9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40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8" bestFit="1" customWidth="1"/>
    <col min="3" max="3" width="15" style="38" bestFit="1" customWidth="1"/>
    <col min="4" max="5" width="17.7109375" style="38" bestFit="1" customWidth="1"/>
    <col min="6" max="6" width="17.42578125" style="38" bestFit="1" customWidth="1"/>
    <col min="7" max="7" width="12.28515625" style="38" bestFit="1" customWidth="1"/>
  </cols>
  <sheetData>
    <row r="1" spans="1:7" x14ac:dyDescent="0.25">
      <c r="A1" s="16" t="s">
        <v>0</v>
      </c>
      <c r="B1" s="16" t="s">
        <v>870</v>
      </c>
      <c r="C1" s="16" t="s">
        <v>871</v>
      </c>
      <c r="D1" s="16" t="s">
        <v>872</v>
      </c>
      <c r="E1" s="16" t="s">
        <v>873</v>
      </c>
      <c r="F1" s="16" t="s">
        <v>874</v>
      </c>
      <c r="G1" s="16" t="s">
        <v>875</v>
      </c>
    </row>
    <row r="2" spans="1:7" x14ac:dyDescent="0.25">
      <c r="A2" t="s">
        <v>876</v>
      </c>
      <c r="B2" s="40">
        <v>1</v>
      </c>
      <c r="C2" s="40">
        <v>20</v>
      </c>
      <c r="D2" s="40">
        <v>40</v>
      </c>
      <c r="E2" s="40">
        <v>10000</v>
      </c>
      <c r="F2" t="s">
        <v>131</v>
      </c>
      <c r="G2" s="40">
        <v>5</v>
      </c>
    </row>
    <row r="3" spans="1:7" x14ac:dyDescent="0.25">
      <c r="A3" t="s">
        <v>876</v>
      </c>
      <c r="B3" s="40">
        <v>2</v>
      </c>
      <c r="C3" s="40">
        <v>40</v>
      </c>
      <c r="D3" s="40">
        <v>60</v>
      </c>
      <c r="E3" s="40">
        <v>50000</v>
      </c>
      <c r="F3" t="s">
        <v>131</v>
      </c>
      <c r="G3" s="40">
        <v>10</v>
      </c>
    </row>
    <row r="4" spans="1:7" x14ac:dyDescent="0.25">
      <c r="A4" t="s">
        <v>876</v>
      </c>
      <c r="B4" s="40">
        <v>3</v>
      </c>
      <c r="C4" s="40">
        <v>60</v>
      </c>
      <c r="D4" s="40">
        <v>80</v>
      </c>
      <c r="E4" s="40">
        <v>200000</v>
      </c>
      <c r="F4" t="s">
        <v>131</v>
      </c>
      <c r="G4" s="40">
        <v>15</v>
      </c>
    </row>
    <row r="5" spans="1:7" x14ac:dyDescent="0.25">
      <c r="A5" t="s">
        <v>876</v>
      </c>
      <c r="B5" s="40">
        <v>4</v>
      </c>
      <c r="C5" s="40">
        <v>80</v>
      </c>
      <c r="D5" s="40">
        <v>100</v>
      </c>
      <c r="E5" s="40">
        <v>500000</v>
      </c>
      <c r="F5" t="s">
        <v>131</v>
      </c>
      <c r="G5" s="40">
        <v>20</v>
      </c>
    </row>
    <row r="6" spans="1:7" x14ac:dyDescent="0.25">
      <c r="A6" t="s">
        <v>876</v>
      </c>
      <c r="B6" s="35">
        <v>5</v>
      </c>
      <c r="C6" s="35">
        <v>100</v>
      </c>
      <c r="D6" s="35">
        <v>100</v>
      </c>
      <c r="E6" s="35">
        <v>500000</v>
      </c>
      <c r="F6" s="36" t="s">
        <v>131</v>
      </c>
      <c r="G6" s="35">
        <v>20</v>
      </c>
    </row>
    <row r="7" spans="1:7" x14ac:dyDescent="0.25">
      <c r="A7" s="10" t="s">
        <v>877</v>
      </c>
      <c r="B7" s="40">
        <v>1</v>
      </c>
      <c r="C7" s="40">
        <v>20</v>
      </c>
      <c r="D7" s="40">
        <v>40</v>
      </c>
      <c r="E7" s="40">
        <v>10000</v>
      </c>
      <c r="F7" t="s">
        <v>131</v>
      </c>
      <c r="G7" s="40">
        <v>5</v>
      </c>
    </row>
    <row r="8" spans="1:7" x14ac:dyDescent="0.25">
      <c r="A8" s="10" t="s">
        <v>877</v>
      </c>
      <c r="B8" s="40">
        <v>2</v>
      </c>
      <c r="C8" s="40">
        <v>40</v>
      </c>
      <c r="D8" s="40">
        <v>60</v>
      </c>
      <c r="E8" s="40">
        <v>50000</v>
      </c>
      <c r="F8" t="s">
        <v>131</v>
      </c>
      <c r="G8" s="40">
        <v>10</v>
      </c>
    </row>
    <row r="9" spans="1:7" x14ac:dyDescent="0.25">
      <c r="A9" s="10" t="s">
        <v>877</v>
      </c>
      <c r="B9" s="40">
        <v>3</v>
      </c>
      <c r="C9" s="40">
        <v>60</v>
      </c>
      <c r="D9" s="40">
        <v>80</v>
      </c>
      <c r="E9" s="40">
        <v>200000</v>
      </c>
      <c r="F9" t="s">
        <v>131</v>
      </c>
      <c r="G9" s="40">
        <v>15</v>
      </c>
    </row>
    <row r="10" spans="1:7" x14ac:dyDescent="0.25">
      <c r="A10" s="10" t="s">
        <v>877</v>
      </c>
      <c r="B10" s="40">
        <v>4</v>
      </c>
      <c r="C10" s="40">
        <v>80</v>
      </c>
      <c r="D10" s="40">
        <v>100</v>
      </c>
      <c r="E10" s="40">
        <v>500000</v>
      </c>
      <c r="F10" t="s">
        <v>131</v>
      </c>
      <c r="G10" s="40">
        <v>20</v>
      </c>
    </row>
    <row r="11" spans="1:7" x14ac:dyDescent="0.25">
      <c r="A11" s="10" t="s">
        <v>877</v>
      </c>
      <c r="B11" s="35">
        <v>5</v>
      </c>
      <c r="C11" s="35">
        <v>100</v>
      </c>
      <c r="D11" s="35">
        <v>100</v>
      </c>
      <c r="E11" s="35">
        <v>500000</v>
      </c>
      <c r="F11" s="36" t="s">
        <v>131</v>
      </c>
      <c r="G11" s="35">
        <v>20</v>
      </c>
    </row>
    <row r="12" spans="1:7" x14ac:dyDescent="0.25">
      <c r="A12" t="s">
        <v>878</v>
      </c>
      <c r="B12" s="40">
        <v>1</v>
      </c>
      <c r="C12" s="40">
        <v>20</v>
      </c>
      <c r="D12" s="40">
        <v>40</v>
      </c>
      <c r="E12" s="40">
        <v>10000</v>
      </c>
      <c r="F12" t="s">
        <v>131</v>
      </c>
      <c r="G12" s="40">
        <v>5</v>
      </c>
    </row>
    <row r="13" spans="1:7" x14ac:dyDescent="0.25">
      <c r="A13" t="s">
        <v>878</v>
      </c>
      <c r="B13" s="40">
        <v>2</v>
      </c>
      <c r="C13" s="40">
        <v>40</v>
      </c>
      <c r="D13" s="40">
        <v>60</v>
      </c>
      <c r="E13" s="40">
        <v>50000</v>
      </c>
      <c r="F13" t="s">
        <v>131</v>
      </c>
      <c r="G13" s="40">
        <v>10</v>
      </c>
    </row>
    <row r="14" spans="1:7" x14ac:dyDescent="0.25">
      <c r="A14" t="s">
        <v>878</v>
      </c>
      <c r="B14" s="40">
        <v>3</v>
      </c>
      <c r="C14" s="40">
        <v>60</v>
      </c>
      <c r="D14" s="40">
        <v>80</v>
      </c>
      <c r="E14" s="40">
        <v>200000</v>
      </c>
      <c r="F14" t="s">
        <v>131</v>
      </c>
      <c r="G14" s="40">
        <v>15</v>
      </c>
    </row>
    <row r="15" spans="1:7" x14ac:dyDescent="0.25">
      <c r="A15" t="s">
        <v>878</v>
      </c>
      <c r="B15" s="40">
        <v>4</v>
      </c>
      <c r="C15" s="40">
        <v>80</v>
      </c>
      <c r="D15" s="40">
        <v>100</v>
      </c>
      <c r="E15" s="40">
        <v>500000</v>
      </c>
      <c r="F15" t="s">
        <v>131</v>
      </c>
      <c r="G15" s="40">
        <v>20</v>
      </c>
    </row>
    <row r="16" spans="1:7" x14ac:dyDescent="0.25">
      <c r="A16" t="s">
        <v>878</v>
      </c>
      <c r="B16" s="35">
        <v>5</v>
      </c>
      <c r="C16" s="35">
        <v>100</v>
      </c>
      <c r="D16" s="35">
        <v>100</v>
      </c>
      <c r="E16" s="35">
        <v>500000</v>
      </c>
      <c r="F16" s="36" t="s">
        <v>131</v>
      </c>
      <c r="G16" s="35">
        <v>20</v>
      </c>
    </row>
    <row r="17" spans="1:7" x14ac:dyDescent="0.25">
      <c r="A17" s="10" t="s">
        <v>879</v>
      </c>
      <c r="B17" s="40">
        <v>1</v>
      </c>
      <c r="C17" s="40">
        <v>20</v>
      </c>
      <c r="D17" s="40">
        <v>40</v>
      </c>
      <c r="E17" s="40">
        <v>10000</v>
      </c>
      <c r="F17" t="s">
        <v>131</v>
      </c>
      <c r="G17" s="40">
        <v>5</v>
      </c>
    </row>
    <row r="18" spans="1:7" x14ac:dyDescent="0.25">
      <c r="A18" s="10" t="s">
        <v>879</v>
      </c>
      <c r="B18" s="40">
        <v>2</v>
      </c>
      <c r="C18" s="40">
        <v>40</v>
      </c>
      <c r="D18" s="40">
        <v>60</v>
      </c>
      <c r="E18" s="40">
        <v>50000</v>
      </c>
      <c r="F18" t="s">
        <v>131</v>
      </c>
      <c r="G18" s="40">
        <v>10</v>
      </c>
    </row>
    <row r="19" spans="1:7" x14ac:dyDescent="0.25">
      <c r="A19" s="10" t="s">
        <v>879</v>
      </c>
      <c r="B19" s="40">
        <v>3</v>
      </c>
      <c r="C19" s="40">
        <v>60</v>
      </c>
      <c r="D19" s="40">
        <v>80</v>
      </c>
      <c r="E19" s="40">
        <v>200000</v>
      </c>
      <c r="F19" t="s">
        <v>131</v>
      </c>
      <c r="G19" s="40">
        <v>15</v>
      </c>
    </row>
    <row r="20" spans="1:7" x14ac:dyDescent="0.25">
      <c r="A20" s="10" t="s">
        <v>879</v>
      </c>
      <c r="B20" s="40">
        <v>4</v>
      </c>
      <c r="C20" s="40">
        <v>80</v>
      </c>
      <c r="D20" s="40">
        <v>100</v>
      </c>
      <c r="E20" s="40">
        <v>500000</v>
      </c>
      <c r="F20" t="s">
        <v>131</v>
      </c>
      <c r="G20" s="40">
        <v>20</v>
      </c>
    </row>
    <row r="21" spans="1:7" x14ac:dyDescent="0.25">
      <c r="A21" s="10" t="s">
        <v>879</v>
      </c>
      <c r="B21" s="35">
        <v>5</v>
      </c>
      <c r="C21" s="35">
        <v>100</v>
      </c>
      <c r="D21" s="35">
        <v>100</v>
      </c>
      <c r="E21" s="35">
        <v>500000</v>
      </c>
      <c r="F21" s="36" t="s">
        <v>131</v>
      </c>
      <c r="G21" s="35">
        <v>20</v>
      </c>
    </row>
    <row r="22" spans="1:7" x14ac:dyDescent="0.25">
      <c r="A22" t="s">
        <v>880</v>
      </c>
      <c r="B22" s="40">
        <v>1</v>
      </c>
      <c r="C22" s="40">
        <v>20</v>
      </c>
      <c r="D22" s="40">
        <v>40</v>
      </c>
      <c r="E22" s="40">
        <v>10000</v>
      </c>
      <c r="F22" t="s">
        <v>131</v>
      </c>
      <c r="G22" s="40">
        <v>5</v>
      </c>
    </row>
    <row r="23" spans="1:7" x14ac:dyDescent="0.25">
      <c r="A23" t="s">
        <v>880</v>
      </c>
      <c r="B23" s="40">
        <v>2</v>
      </c>
      <c r="C23" s="40">
        <v>40</v>
      </c>
      <c r="D23" s="40">
        <v>60</v>
      </c>
      <c r="E23" s="40">
        <v>50000</v>
      </c>
      <c r="F23" t="s">
        <v>131</v>
      </c>
      <c r="G23" s="40">
        <v>10</v>
      </c>
    </row>
    <row r="24" spans="1:7" x14ac:dyDescent="0.25">
      <c r="A24" t="s">
        <v>880</v>
      </c>
      <c r="B24" s="40">
        <v>3</v>
      </c>
      <c r="C24" s="40">
        <v>60</v>
      </c>
      <c r="D24" s="40">
        <v>80</v>
      </c>
      <c r="E24" s="40">
        <v>200000</v>
      </c>
      <c r="F24" t="s">
        <v>131</v>
      </c>
      <c r="G24" s="40">
        <v>15</v>
      </c>
    </row>
    <row r="25" spans="1:7" x14ac:dyDescent="0.25">
      <c r="A25" t="s">
        <v>880</v>
      </c>
      <c r="B25" s="40">
        <v>4</v>
      </c>
      <c r="C25" s="40">
        <v>80</v>
      </c>
      <c r="D25" s="40">
        <v>100</v>
      </c>
      <c r="E25" s="40">
        <v>500000</v>
      </c>
      <c r="F25" t="s">
        <v>131</v>
      </c>
      <c r="G25" s="40">
        <v>20</v>
      </c>
    </row>
    <row r="26" spans="1:7" x14ac:dyDescent="0.25">
      <c r="A26" t="s">
        <v>880</v>
      </c>
      <c r="B26" s="35">
        <v>5</v>
      </c>
      <c r="C26" s="35">
        <v>100</v>
      </c>
      <c r="D26" s="35">
        <v>100</v>
      </c>
      <c r="E26" s="35">
        <v>500000</v>
      </c>
      <c r="F26" s="36" t="s">
        <v>131</v>
      </c>
      <c r="G26" s="35">
        <v>20</v>
      </c>
    </row>
    <row r="27" spans="1:7" x14ac:dyDescent="0.25">
      <c r="A27" s="10" t="s">
        <v>881</v>
      </c>
      <c r="B27" s="40">
        <v>1</v>
      </c>
      <c r="C27" s="40">
        <v>20</v>
      </c>
      <c r="D27" s="40">
        <v>40</v>
      </c>
      <c r="E27" s="40">
        <v>10000</v>
      </c>
      <c r="F27" t="s">
        <v>131</v>
      </c>
      <c r="G27" s="40">
        <v>5</v>
      </c>
    </row>
    <row r="28" spans="1:7" x14ac:dyDescent="0.25">
      <c r="A28" s="10" t="s">
        <v>881</v>
      </c>
      <c r="B28" s="40">
        <v>2</v>
      </c>
      <c r="C28" s="40">
        <v>40</v>
      </c>
      <c r="D28" s="40">
        <v>60</v>
      </c>
      <c r="E28" s="40">
        <v>50000</v>
      </c>
      <c r="F28" t="s">
        <v>131</v>
      </c>
      <c r="G28" s="40">
        <v>10</v>
      </c>
    </row>
    <row r="29" spans="1:7" x14ac:dyDescent="0.25">
      <c r="A29" s="10" t="s">
        <v>881</v>
      </c>
      <c r="B29" s="40">
        <v>3</v>
      </c>
      <c r="C29" s="40">
        <v>60</v>
      </c>
      <c r="D29" s="40">
        <v>80</v>
      </c>
      <c r="E29" s="40">
        <v>200000</v>
      </c>
      <c r="F29" t="s">
        <v>131</v>
      </c>
      <c r="G29" s="40">
        <v>15</v>
      </c>
    </row>
    <row r="30" spans="1:7" x14ac:dyDescent="0.25">
      <c r="A30" s="10" t="s">
        <v>881</v>
      </c>
      <c r="B30" s="40">
        <v>4</v>
      </c>
      <c r="C30" s="40">
        <v>80</v>
      </c>
      <c r="D30" s="40">
        <v>100</v>
      </c>
      <c r="E30" s="40">
        <v>500000</v>
      </c>
      <c r="F30" t="s">
        <v>131</v>
      </c>
      <c r="G30" s="40">
        <v>20</v>
      </c>
    </row>
    <row r="31" spans="1:7" x14ac:dyDescent="0.25">
      <c r="A31" s="10" t="s">
        <v>881</v>
      </c>
      <c r="B31" s="35">
        <v>5</v>
      </c>
      <c r="C31" s="35">
        <v>100</v>
      </c>
      <c r="D31" s="35">
        <v>100</v>
      </c>
      <c r="E31" s="35">
        <v>500000</v>
      </c>
      <c r="F31" s="36" t="s">
        <v>131</v>
      </c>
      <c r="G31" s="35">
        <v>20</v>
      </c>
    </row>
    <row r="32" spans="1:7" x14ac:dyDescent="0.25">
      <c r="A32" t="s">
        <v>882</v>
      </c>
      <c r="B32" s="40">
        <v>1</v>
      </c>
      <c r="C32" s="40">
        <v>20</v>
      </c>
      <c r="D32" s="40">
        <v>40</v>
      </c>
      <c r="E32" s="40">
        <v>10000</v>
      </c>
      <c r="F32" t="s">
        <v>131</v>
      </c>
      <c r="G32" s="40">
        <v>5</v>
      </c>
    </row>
    <row r="33" spans="1:7" x14ac:dyDescent="0.25">
      <c r="A33" t="s">
        <v>882</v>
      </c>
      <c r="B33" s="40">
        <v>2</v>
      </c>
      <c r="C33" s="40">
        <v>40</v>
      </c>
      <c r="D33" s="40">
        <v>60</v>
      </c>
      <c r="E33" s="40">
        <v>50000</v>
      </c>
      <c r="F33" t="s">
        <v>131</v>
      </c>
      <c r="G33" s="40">
        <v>10</v>
      </c>
    </row>
    <row r="34" spans="1:7" x14ac:dyDescent="0.25">
      <c r="A34" t="s">
        <v>882</v>
      </c>
      <c r="B34" s="40">
        <v>3</v>
      </c>
      <c r="C34" s="40">
        <v>60</v>
      </c>
      <c r="D34" s="40">
        <v>80</v>
      </c>
      <c r="E34" s="40">
        <v>200000</v>
      </c>
      <c r="F34" t="s">
        <v>131</v>
      </c>
      <c r="G34" s="40">
        <v>15</v>
      </c>
    </row>
    <row r="35" spans="1:7" x14ac:dyDescent="0.25">
      <c r="A35" t="s">
        <v>882</v>
      </c>
      <c r="B35" s="40">
        <v>4</v>
      </c>
      <c r="C35" s="40">
        <v>80</v>
      </c>
      <c r="D35" s="40">
        <v>100</v>
      </c>
      <c r="E35" s="40">
        <v>500000</v>
      </c>
      <c r="F35" t="s">
        <v>131</v>
      </c>
      <c r="G35" s="40">
        <v>20</v>
      </c>
    </row>
    <row r="36" spans="1:7" x14ac:dyDescent="0.25">
      <c r="A36" t="s">
        <v>882</v>
      </c>
      <c r="B36" s="35">
        <v>5</v>
      </c>
      <c r="C36" s="35">
        <v>100</v>
      </c>
      <c r="D36" s="35">
        <v>100</v>
      </c>
      <c r="E36" s="35">
        <v>500000</v>
      </c>
      <c r="F36" s="36" t="s">
        <v>131</v>
      </c>
      <c r="G36" s="35">
        <v>20</v>
      </c>
    </row>
    <row r="37" spans="1:7" x14ac:dyDescent="0.25">
      <c r="A37" s="10" t="s">
        <v>883</v>
      </c>
      <c r="B37" s="40">
        <v>1</v>
      </c>
      <c r="C37" s="40">
        <v>20</v>
      </c>
      <c r="D37" s="40">
        <v>40</v>
      </c>
      <c r="E37" s="40">
        <v>10000</v>
      </c>
      <c r="F37" t="s">
        <v>131</v>
      </c>
      <c r="G37" s="40">
        <v>5</v>
      </c>
    </row>
    <row r="38" spans="1:7" x14ac:dyDescent="0.25">
      <c r="A38" s="10" t="s">
        <v>883</v>
      </c>
      <c r="B38" s="40">
        <v>2</v>
      </c>
      <c r="C38" s="40">
        <v>40</v>
      </c>
      <c r="D38" s="40">
        <v>60</v>
      </c>
      <c r="E38" s="40">
        <v>50000</v>
      </c>
      <c r="F38" t="s">
        <v>131</v>
      </c>
      <c r="G38" s="40">
        <v>10</v>
      </c>
    </row>
    <row r="39" spans="1:7" x14ac:dyDescent="0.25">
      <c r="A39" s="10" t="s">
        <v>883</v>
      </c>
      <c r="B39" s="40">
        <v>3</v>
      </c>
      <c r="C39" s="40">
        <v>60</v>
      </c>
      <c r="D39" s="40">
        <v>80</v>
      </c>
      <c r="E39" s="40">
        <v>200000</v>
      </c>
      <c r="F39" t="s">
        <v>131</v>
      </c>
      <c r="G39" s="40">
        <v>15</v>
      </c>
    </row>
    <row r="40" spans="1:7" x14ac:dyDescent="0.25">
      <c r="A40" s="10" t="s">
        <v>883</v>
      </c>
      <c r="B40" s="40">
        <v>4</v>
      </c>
      <c r="C40" s="40">
        <v>80</v>
      </c>
      <c r="D40" s="40">
        <v>100</v>
      </c>
      <c r="E40" s="40">
        <v>500000</v>
      </c>
      <c r="F40" t="s">
        <v>131</v>
      </c>
      <c r="G40" s="40">
        <v>20</v>
      </c>
    </row>
    <row r="41" spans="1:7" x14ac:dyDescent="0.25">
      <c r="A41" s="10" t="s">
        <v>883</v>
      </c>
      <c r="B41" s="35">
        <v>5</v>
      </c>
      <c r="C41" s="35">
        <v>100</v>
      </c>
      <c r="D41" s="35">
        <v>100</v>
      </c>
      <c r="E41" s="35">
        <v>500000</v>
      </c>
      <c r="F41" s="36" t="s">
        <v>131</v>
      </c>
      <c r="G41" s="35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8" customWidth="1"/>
    <col min="2" max="2" width="15.28515625" style="38" customWidth="1"/>
    <col min="3" max="3" width="17.5703125" style="38" customWidth="1"/>
    <col min="4" max="4" width="19.5703125" style="38" customWidth="1"/>
    <col min="5" max="5" width="12.85546875" style="38" customWidth="1"/>
    <col min="6" max="6" width="17.85546875" style="38" customWidth="1"/>
    <col min="7" max="7" width="17.42578125" style="38" customWidth="1"/>
  </cols>
  <sheetData>
    <row r="1" spans="1:4" x14ac:dyDescent="0.25">
      <c r="A1" s="16" t="s">
        <v>0</v>
      </c>
      <c r="B1" s="16" t="s">
        <v>870</v>
      </c>
      <c r="C1" s="16" t="s">
        <v>873</v>
      </c>
      <c r="D1" s="16" t="s">
        <v>884</v>
      </c>
    </row>
    <row r="2" spans="1:4" x14ac:dyDescent="0.25">
      <c r="A2" t="s">
        <v>885</v>
      </c>
      <c r="B2" s="39">
        <v>1</v>
      </c>
      <c r="C2">
        <v>10000</v>
      </c>
      <c r="D2">
        <v>60</v>
      </c>
    </row>
    <row r="3" spans="1:4" x14ac:dyDescent="0.25">
      <c r="A3" t="s">
        <v>885</v>
      </c>
      <c r="B3" s="39">
        <v>2</v>
      </c>
      <c r="C3">
        <v>20000</v>
      </c>
      <c r="D3">
        <v>120</v>
      </c>
    </row>
    <row r="4" spans="1:4" x14ac:dyDescent="0.25">
      <c r="A4" t="s">
        <v>885</v>
      </c>
      <c r="B4" s="39">
        <v>3</v>
      </c>
      <c r="C4">
        <v>50000</v>
      </c>
      <c r="D4">
        <v>240</v>
      </c>
    </row>
    <row r="5" spans="1:4" x14ac:dyDescent="0.25">
      <c r="A5" t="s">
        <v>885</v>
      </c>
      <c r="B5" s="39">
        <v>4</v>
      </c>
      <c r="C5">
        <v>100000</v>
      </c>
      <c r="D5">
        <v>420</v>
      </c>
    </row>
    <row r="6" spans="1:4" x14ac:dyDescent="0.25">
      <c r="A6" t="s">
        <v>885</v>
      </c>
      <c r="B6" s="39">
        <v>5</v>
      </c>
      <c r="C6">
        <v>250000</v>
      </c>
      <c r="D6">
        <v>540</v>
      </c>
    </row>
    <row r="7" spans="1:4" x14ac:dyDescent="0.25">
      <c r="A7" t="s">
        <v>885</v>
      </c>
      <c r="B7" s="39">
        <v>6</v>
      </c>
      <c r="C7">
        <v>500000</v>
      </c>
      <c r="D7">
        <v>600</v>
      </c>
    </row>
    <row r="8" spans="1:4" x14ac:dyDescent="0.25">
      <c r="A8" s="10" t="s">
        <v>886</v>
      </c>
      <c r="B8" s="39">
        <v>1</v>
      </c>
      <c r="C8">
        <v>10000</v>
      </c>
      <c r="D8">
        <v>60</v>
      </c>
    </row>
    <row r="9" spans="1:4" x14ac:dyDescent="0.25">
      <c r="A9" s="10" t="s">
        <v>886</v>
      </c>
      <c r="B9" s="39">
        <v>2</v>
      </c>
      <c r="C9">
        <v>20000</v>
      </c>
      <c r="D9">
        <v>120</v>
      </c>
    </row>
    <row r="10" spans="1:4" x14ac:dyDescent="0.25">
      <c r="A10" s="10" t="s">
        <v>886</v>
      </c>
      <c r="B10" s="39">
        <v>3</v>
      </c>
      <c r="C10">
        <v>50000</v>
      </c>
      <c r="D10">
        <v>240</v>
      </c>
    </row>
    <row r="11" spans="1:4" x14ac:dyDescent="0.25">
      <c r="A11" s="10" t="s">
        <v>886</v>
      </c>
      <c r="B11" s="39">
        <v>4</v>
      </c>
      <c r="C11">
        <v>100000</v>
      </c>
      <c r="D11">
        <v>360</v>
      </c>
    </row>
    <row r="12" spans="1:4" x14ac:dyDescent="0.25">
      <c r="A12" s="10" t="s">
        <v>886</v>
      </c>
      <c r="B12" s="39">
        <v>5</v>
      </c>
      <c r="C12">
        <v>250000</v>
      </c>
      <c r="D12">
        <v>420</v>
      </c>
    </row>
    <row r="13" spans="1:4" x14ac:dyDescent="0.25">
      <c r="A13" s="10" t="s">
        <v>886</v>
      </c>
      <c r="B13" s="39">
        <v>6</v>
      </c>
      <c r="C13">
        <v>500000</v>
      </c>
      <c r="D13">
        <v>480</v>
      </c>
    </row>
    <row r="14" spans="1:4" x14ac:dyDescent="0.25">
      <c r="A14" s="29" t="s">
        <v>887</v>
      </c>
      <c r="B14" s="39">
        <v>1</v>
      </c>
      <c r="C14">
        <v>10000</v>
      </c>
      <c r="D14">
        <v>60</v>
      </c>
    </row>
    <row r="15" spans="1:4" x14ac:dyDescent="0.25">
      <c r="A15" s="29" t="s">
        <v>887</v>
      </c>
      <c r="B15" s="39">
        <v>2</v>
      </c>
      <c r="C15">
        <v>20000</v>
      </c>
      <c r="D15">
        <v>120</v>
      </c>
    </row>
    <row r="16" spans="1:4" x14ac:dyDescent="0.25">
      <c r="A16" s="29" t="s">
        <v>887</v>
      </c>
      <c r="B16" s="39">
        <v>3</v>
      </c>
      <c r="C16">
        <v>50000</v>
      </c>
      <c r="D16">
        <v>240</v>
      </c>
    </row>
    <row r="17" spans="1:4" x14ac:dyDescent="0.25">
      <c r="A17" s="29" t="s">
        <v>887</v>
      </c>
      <c r="B17" s="39">
        <v>4</v>
      </c>
      <c r="C17">
        <v>100000</v>
      </c>
      <c r="D17">
        <v>300</v>
      </c>
    </row>
    <row r="18" spans="1:4" x14ac:dyDescent="0.25">
      <c r="A18" s="29" t="s">
        <v>887</v>
      </c>
      <c r="B18" s="39">
        <v>5</v>
      </c>
      <c r="C18">
        <v>250000</v>
      </c>
      <c r="D18">
        <v>360</v>
      </c>
    </row>
    <row r="19" spans="1:4" x14ac:dyDescent="0.25">
      <c r="A19" s="29" t="s">
        <v>887</v>
      </c>
      <c r="B19" s="39">
        <v>6</v>
      </c>
      <c r="C19">
        <v>500000</v>
      </c>
      <c r="D19">
        <v>420</v>
      </c>
    </row>
    <row r="20" spans="1:4" x14ac:dyDescent="0.25">
      <c r="A20" s="10" t="s">
        <v>888</v>
      </c>
      <c r="B20" s="39">
        <v>1</v>
      </c>
      <c r="C20">
        <v>10000</v>
      </c>
      <c r="D20">
        <v>60</v>
      </c>
    </row>
    <row r="21" spans="1:4" x14ac:dyDescent="0.25">
      <c r="A21" s="10" t="s">
        <v>888</v>
      </c>
      <c r="B21" s="39">
        <v>2</v>
      </c>
      <c r="C21">
        <v>20000</v>
      </c>
      <c r="D21">
        <v>120</v>
      </c>
    </row>
    <row r="22" spans="1:4" x14ac:dyDescent="0.25">
      <c r="A22" s="10" t="s">
        <v>888</v>
      </c>
      <c r="B22" s="39">
        <v>3</v>
      </c>
      <c r="C22">
        <v>50000</v>
      </c>
      <c r="D22">
        <v>180</v>
      </c>
    </row>
    <row r="23" spans="1:4" x14ac:dyDescent="0.25">
      <c r="A23" s="10" t="s">
        <v>888</v>
      </c>
      <c r="B23" s="39">
        <v>4</v>
      </c>
      <c r="C23">
        <v>100000</v>
      </c>
      <c r="D23">
        <v>240</v>
      </c>
    </row>
    <row r="24" spans="1:4" x14ac:dyDescent="0.25">
      <c r="A24" s="10" t="s">
        <v>888</v>
      </c>
      <c r="B24" s="39">
        <v>5</v>
      </c>
      <c r="C24">
        <v>250000</v>
      </c>
      <c r="D24">
        <v>300</v>
      </c>
    </row>
    <row r="25" spans="1:4" x14ac:dyDescent="0.25">
      <c r="A25" s="10" t="s">
        <v>888</v>
      </c>
      <c r="B25" s="39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6" sqref="A6"/>
    </sheetView>
  </sheetViews>
  <sheetFormatPr defaultRowHeight="15" x14ac:dyDescent="0.25"/>
  <cols>
    <col min="1" max="1" width="26" style="38" bestFit="1" customWidth="1"/>
    <col min="2" max="2" width="36.140625" style="38" bestFit="1" customWidth="1"/>
    <col min="3" max="3" width="39.28515625" style="38" bestFit="1" customWidth="1"/>
    <col min="4" max="4" width="21.28515625" style="38" customWidth="1"/>
    <col min="5" max="5" width="15.5703125" style="38" customWidth="1"/>
    <col min="6" max="6" width="10.85546875" style="38" customWidth="1"/>
  </cols>
  <sheetData>
    <row r="1" spans="1:6" x14ac:dyDescent="0.25">
      <c r="A1" s="16" t="s">
        <v>0</v>
      </c>
      <c r="B1" s="16" t="s">
        <v>1</v>
      </c>
      <c r="C1" s="16" t="s">
        <v>489</v>
      </c>
      <c r="D1" s="16" t="s">
        <v>889</v>
      </c>
      <c r="E1" s="16" t="s">
        <v>890</v>
      </c>
      <c r="F1" s="16" t="s">
        <v>891</v>
      </c>
    </row>
    <row r="2" spans="1:6" x14ac:dyDescent="0.25">
      <c r="A2" s="42" t="s">
        <v>892</v>
      </c>
      <c r="B2" t="s">
        <v>893</v>
      </c>
      <c r="C2" t="s">
        <v>894</v>
      </c>
      <c r="D2" s="39" t="s">
        <v>895</v>
      </c>
      <c r="E2" s="39" t="s">
        <v>896</v>
      </c>
      <c r="F2" s="39">
        <v>600</v>
      </c>
    </row>
    <row r="3" spans="1:6" x14ac:dyDescent="0.25">
      <c r="A3" s="42" t="s">
        <v>897</v>
      </c>
      <c r="B3" t="s">
        <v>898</v>
      </c>
      <c r="C3" t="s">
        <v>899</v>
      </c>
      <c r="D3" s="39" t="s">
        <v>895</v>
      </c>
      <c r="E3" s="39" t="s">
        <v>896</v>
      </c>
      <c r="F3" s="39">
        <v>600</v>
      </c>
    </row>
    <row r="4" spans="1:6" x14ac:dyDescent="0.25">
      <c r="A4" s="42" t="s">
        <v>900</v>
      </c>
      <c r="B4" t="s">
        <v>901</v>
      </c>
      <c r="C4" t="s">
        <v>902</v>
      </c>
      <c r="D4" s="39" t="s">
        <v>895</v>
      </c>
      <c r="E4" s="39" t="s">
        <v>896</v>
      </c>
      <c r="F4" s="39">
        <v>600</v>
      </c>
    </row>
    <row r="5" spans="1:6" x14ac:dyDescent="0.25">
      <c r="A5" s="42" t="s">
        <v>903</v>
      </c>
      <c r="B5" t="s">
        <v>904</v>
      </c>
      <c r="C5" t="s">
        <v>905</v>
      </c>
      <c r="D5" s="39" t="s">
        <v>895</v>
      </c>
      <c r="E5" s="39" t="s">
        <v>896</v>
      </c>
      <c r="F5" s="39">
        <v>600</v>
      </c>
    </row>
    <row r="6" spans="1:6" x14ac:dyDescent="0.25">
      <c r="A6" s="42" t="s">
        <v>906</v>
      </c>
      <c r="B6" t="s">
        <v>907</v>
      </c>
      <c r="C6" t="s">
        <v>908</v>
      </c>
      <c r="D6" s="39" t="s">
        <v>895</v>
      </c>
      <c r="E6" s="39" t="s">
        <v>896</v>
      </c>
      <c r="F6" s="39">
        <v>600</v>
      </c>
    </row>
    <row r="7" spans="1:6" x14ac:dyDescent="0.25">
      <c r="A7" s="42" t="s">
        <v>909</v>
      </c>
      <c r="B7" t="s">
        <v>910</v>
      </c>
      <c r="C7" t="s">
        <v>911</v>
      </c>
      <c r="D7" s="39" t="s">
        <v>895</v>
      </c>
      <c r="E7" s="39" t="s">
        <v>896</v>
      </c>
      <c r="F7" s="39">
        <v>600</v>
      </c>
    </row>
    <row r="8" spans="1:6" x14ac:dyDescent="0.25">
      <c r="A8" s="42" t="s">
        <v>912</v>
      </c>
      <c r="B8" t="s">
        <v>913</v>
      </c>
      <c r="C8" t="s">
        <v>914</v>
      </c>
      <c r="D8" s="39" t="s">
        <v>895</v>
      </c>
      <c r="E8" s="39" t="s">
        <v>896</v>
      </c>
      <c r="F8" s="39">
        <v>600</v>
      </c>
    </row>
    <row r="9" spans="1:6" x14ac:dyDescent="0.25">
      <c r="A9" s="42" t="s">
        <v>915</v>
      </c>
      <c r="B9" t="s">
        <v>916</v>
      </c>
      <c r="C9" t="s">
        <v>917</v>
      </c>
      <c r="D9" s="39" t="s">
        <v>895</v>
      </c>
      <c r="E9" s="39" t="s">
        <v>896</v>
      </c>
      <c r="F9" s="39">
        <v>600</v>
      </c>
    </row>
    <row r="10" spans="1:6" x14ac:dyDescent="0.25">
      <c r="A10" s="42" t="s">
        <v>918</v>
      </c>
      <c r="B10" t="s">
        <v>919</v>
      </c>
      <c r="C10" t="s">
        <v>920</v>
      </c>
      <c r="D10" s="39" t="s">
        <v>895</v>
      </c>
      <c r="E10" s="39" t="s">
        <v>896</v>
      </c>
      <c r="F10" s="39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topLeftCell="A17" zoomScale="160" zoomScaleNormal="160" workbookViewId="0">
      <selection activeCell="D20" sqref="D20"/>
    </sheetView>
  </sheetViews>
  <sheetFormatPr defaultRowHeight="15" x14ac:dyDescent="0.25"/>
  <cols>
    <col min="1" max="1" width="26" style="38" bestFit="1" customWidth="1"/>
    <col min="2" max="2" width="13" style="38" customWidth="1"/>
    <col min="3" max="3" width="22.140625" style="38" bestFit="1" customWidth="1"/>
  </cols>
  <sheetData>
    <row r="1" spans="1:5" x14ac:dyDescent="0.25">
      <c r="A1" s="16" t="s">
        <v>921</v>
      </c>
      <c r="B1" s="16" t="s">
        <v>922</v>
      </c>
      <c r="C1" s="16" t="s">
        <v>923</v>
      </c>
      <c r="D1" s="16" t="s">
        <v>859</v>
      </c>
      <c r="E1" s="16" t="s">
        <v>569</v>
      </c>
    </row>
    <row r="2" spans="1:5" x14ac:dyDescent="0.25">
      <c r="A2" s="2" t="s">
        <v>892</v>
      </c>
      <c r="B2" s="39">
        <v>1</v>
      </c>
      <c r="C2" s="22" t="s">
        <v>229</v>
      </c>
      <c r="D2" s="39">
        <v>5</v>
      </c>
      <c r="E2" t="b">
        <v>0</v>
      </c>
    </row>
    <row r="3" spans="1:5" x14ac:dyDescent="0.25">
      <c r="A3" s="2" t="s">
        <v>892</v>
      </c>
      <c r="B3" s="39">
        <v>2</v>
      </c>
      <c r="C3" s="22" t="s">
        <v>229</v>
      </c>
      <c r="D3" s="39">
        <v>5</v>
      </c>
      <c r="E3" t="b">
        <v>0</v>
      </c>
    </row>
    <row r="4" spans="1:5" x14ac:dyDescent="0.25">
      <c r="A4" s="2" t="s">
        <v>892</v>
      </c>
      <c r="B4" s="39">
        <v>3</v>
      </c>
      <c r="C4" s="22" t="s">
        <v>229</v>
      </c>
      <c r="D4" s="39">
        <v>5</v>
      </c>
      <c r="E4" t="b">
        <v>0</v>
      </c>
    </row>
    <row r="5" spans="1:5" x14ac:dyDescent="0.25">
      <c r="A5" s="39" t="s">
        <v>900</v>
      </c>
      <c r="B5" s="39">
        <v>1</v>
      </c>
      <c r="C5" s="22" t="s">
        <v>606</v>
      </c>
      <c r="D5" s="39">
        <v>15</v>
      </c>
      <c r="E5" t="b">
        <v>0</v>
      </c>
    </row>
    <row r="6" spans="1:5" x14ac:dyDescent="0.25">
      <c r="A6" s="39" t="s">
        <v>900</v>
      </c>
      <c r="B6" s="39">
        <v>2</v>
      </c>
      <c r="C6" s="22" t="s">
        <v>609</v>
      </c>
      <c r="D6" s="39">
        <v>15</v>
      </c>
      <c r="E6" t="b">
        <v>0</v>
      </c>
    </row>
    <row r="7" spans="1:5" x14ac:dyDescent="0.25">
      <c r="A7" s="39" t="s">
        <v>900</v>
      </c>
      <c r="B7" s="39">
        <v>3</v>
      </c>
      <c r="C7" s="22" t="s">
        <v>606</v>
      </c>
      <c r="D7" s="39">
        <v>15</v>
      </c>
      <c r="E7" t="b">
        <v>0</v>
      </c>
    </row>
    <row r="8" spans="1:5" x14ac:dyDescent="0.25">
      <c r="A8" s="39" t="s">
        <v>900</v>
      </c>
      <c r="B8" s="39">
        <v>5</v>
      </c>
      <c r="C8" s="21" t="s">
        <v>239</v>
      </c>
      <c r="D8" s="39">
        <v>10</v>
      </c>
      <c r="E8" t="b">
        <v>1</v>
      </c>
    </row>
    <row r="9" spans="1:5" x14ac:dyDescent="0.25">
      <c r="A9" s="2" t="s">
        <v>897</v>
      </c>
      <c r="B9" s="39">
        <v>1</v>
      </c>
      <c r="C9" s="22" t="s">
        <v>600</v>
      </c>
      <c r="D9" s="39">
        <v>15</v>
      </c>
      <c r="E9" t="b">
        <v>0</v>
      </c>
    </row>
    <row r="10" spans="1:5" x14ac:dyDescent="0.25">
      <c r="A10" s="2" t="s">
        <v>897</v>
      </c>
      <c r="B10" s="39">
        <v>2</v>
      </c>
      <c r="C10" s="22" t="s">
        <v>603</v>
      </c>
      <c r="D10" s="39">
        <v>15</v>
      </c>
      <c r="E10" t="b">
        <v>0</v>
      </c>
    </row>
    <row r="11" spans="1:5" x14ac:dyDescent="0.25">
      <c r="A11" s="2" t="s">
        <v>897</v>
      </c>
      <c r="B11" s="39">
        <v>3</v>
      </c>
      <c r="C11" s="22" t="s">
        <v>600</v>
      </c>
      <c r="D11" s="39">
        <v>15</v>
      </c>
      <c r="E11" t="b">
        <v>0</v>
      </c>
    </row>
    <row r="12" spans="1:5" x14ac:dyDescent="0.25">
      <c r="A12" s="2" t="s">
        <v>897</v>
      </c>
      <c r="B12" s="39">
        <v>5</v>
      </c>
      <c r="C12" s="21" t="s">
        <v>624</v>
      </c>
      <c r="D12" s="39">
        <v>20</v>
      </c>
      <c r="E12" t="b">
        <v>1</v>
      </c>
    </row>
    <row r="13" spans="1:5" x14ac:dyDescent="0.25">
      <c r="A13" s="39" t="s">
        <v>903</v>
      </c>
      <c r="B13" s="39">
        <v>1</v>
      </c>
      <c r="C13" s="22" t="s">
        <v>591</v>
      </c>
      <c r="D13" s="39">
        <v>15</v>
      </c>
      <c r="E13" t="b">
        <v>0</v>
      </c>
    </row>
    <row r="14" spans="1:5" x14ac:dyDescent="0.25">
      <c r="A14" s="39" t="s">
        <v>903</v>
      </c>
      <c r="B14" s="39">
        <v>2</v>
      </c>
      <c r="C14" s="22" t="s">
        <v>591</v>
      </c>
      <c r="D14" s="39">
        <v>15</v>
      </c>
      <c r="E14" t="b">
        <v>0</v>
      </c>
    </row>
    <row r="15" spans="1:5" x14ac:dyDescent="0.25">
      <c r="A15" s="39" t="s">
        <v>903</v>
      </c>
      <c r="B15" s="39">
        <v>3</v>
      </c>
      <c r="C15" s="22" t="s">
        <v>591</v>
      </c>
      <c r="D15" s="39">
        <v>15</v>
      </c>
      <c r="E15" t="b">
        <v>0</v>
      </c>
    </row>
    <row r="16" spans="1:5" x14ac:dyDescent="0.25">
      <c r="A16" s="39" t="s">
        <v>903</v>
      </c>
      <c r="B16" s="39">
        <v>5</v>
      </c>
      <c r="C16" s="21" t="s">
        <v>231</v>
      </c>
      <c r="D16" s="39">
        <v>25</v>
      </c>
      <c r="E16" t="b">
        <v>1</v>
      </c>
    </row>
    <row r="17" spans="1:5" x14ac:dyDescent="0.25">
      <c r="A17" s="2" t="s">
        <v>906</v>
      </c>
      <c r="B17" s="39">
        <v>1</v>
      </c>
      <c r="C17" s="22" t="s">
        <v>591</v>
      </c>
      <c r="D17" s="39">
        <v>20</v>
      </c>
      <c r="E17" t="b">
        <v>0</v>
      </c>
    </row>
    <row r="18" spans="1:5" x14ac:dyDescent="0.25">
      <c r="A18" s="2" t="s">
        <v>906</v>
      </c>
      <c r="B18" s="39">
        <v>2</v>
      </c>
      <c r="C18" s="21" t="s">
        <v>621</v>
      </c>
      <c r="D18" s="39">
        <v>30</v>
      </c>
      <c r="E18" t="b">
        <v>1</v>
      </c>
    </row>
    <row r="19" spans="1:5" x14ac:dyDescent="0.25">
      <c r="A19" s="2" t="s">
        <v>906</v>
      </c>
      <c r="B19" s="39">
        <v>3</v>
      </c>
      <c r="C19" s="22" t="s">
        <v>591</v>
      </c>
      <c r="D19" s="39">
        <v>20</v>
      </c>
      <c r="E19" t="b">
        <v>0</v>
      </c>
    </row>
    <row r="20" spans="1:5" x14ac:dyDescent="0.25">
      <c r="A20" s="2" t="s">
        <v>906</v>
      </c>
      <c r="B20" s="39">
        <v>5</v>
      </c>
      <c r="C20" s="10" t="s">
        <v>231</v>
      </c>
      <c r="D20" s="39">
        <v>30</v>
      </c>
      <c r="E20" t="b">
        <v>0</v>
      </c>
    </row>
    <row r="21" spans="1:5" x14ac:dyDescent="0.25">
      <c r="A21" s="2" t="s">
        <v>906</v>
      </c>
      <c r="B21" s="39">
        <v>4</v>
      </c>
      <c r="C21" s="22" t="s">
        <v>591</v>
      </c>
      <c r="D21" s="39">
        <v>25</v>
      </c>
      <c r="E21" t="b">
        <v>0</v>
      </c>
    </row>
    <row r="22" spans="1:5" x14ac:dyDescent="0.25">
      <c r="A22" s="2" t="s">
        <v>906</v>
      </c>
      <c r="B22" s="39">
        <v>6</v>
      </c>
      <c r="C22" s="22" t="s">
        <v>591</v>
      </c>
      <c r="D22" s="39">
        <v>20</v>
      </c>
      <c r="E22" t="b">
        <v>0</v>
      </c>
    </row>
    <row r="23" spans="1:5" x14ac:dyDescent="0.25">
      <c r="A23" s="39" t="s">
        <v>909</v>
      </c>
      <c r="B23" s="39">
        <v>1</v>
      </c>
      <c r="C23" s="22" t="s">
        <v>229</v>
      </c>
      <c r="D23" s="39">
        <v>15</v>
      </c>
      <c r="E23" t="b">
        <v>0</v>
      </c>
    </row>
    <row r="24" spans="1:5" x14ac:dyDescent="0.25">
      <c r="A24" s="39" t="s">
        <v>909</v>
      </c>
      <c r="B24" s="39">
        <v>2</v>
      </c>
      <c r="C24" s="22" t="s">
        <v>597</v>
      </c>
      <c r="D24" s="39">
        <v>15</v>
      </c>
      <c r="E24" t="b">
        <v>0</v>
      </c>
    </row>
    <row r="25" spans="1:5" x14ac:dyDescent="0.25">
      <c r="A25" s="39" t="s">
        <v>909</v>
      </c>
      <c r="B25" s="39">
        <v>3</v>
      </c>
      <c r="C25" s="22" t="s">
        <v>229</v>
      </c>
      <c r="D25" s="39">
        <v>15</v>
      </c>
      <c r="E25" t="b">
        <v>0</v>
      </c>
    </row>
    <row r="26" spans="1:5" x14ac:dyDescent="0.25">
      <c r="A26" s="39" t="s">
        <v>909</v>
      </c>
      <c r="B26" s="39">
        <v>5</v>
      </c>
      <c r="C26" s="21" t="s">
        <v>237</v>
      </c>
      <c r="D26" s="39">
        <v>20</v>
      </c>
      <c r="E26" t="b">
        <v>1</v>
      </c>
    </row>
    <row r="27" spans="1:5" x14ac:dyDescent="0.25">
      <c r="A27" s="2" t="s">
        <v>912</v>
      </c>
      <c r="B27" s="39">
        <v>1</v>
      </c>
      <c r="C27" s="22" t="s">
        <v>594</v>
      </c>
      <c r="D27" s="39">
        <v>20</v>
      </c>
      <c r="E27" t="b">
        <v>0</v>
      </c>
    </row>
    <row r="28" spans="1:5" x14ac:dyDescent="0.25">
      <c r="A28" s="2" t="s">
        <v>912</v>
      </c>
      <c r="B28" s="39">
        <v>2</v>
      </c>
      <c r="C28" s="22" t="s">
        <v>594</v>
      </c>
      <c r="D28" s="39">
        <v>20</v>
      </c>
      <c r="E28" t="b">
        <v>0</v>
      </c>
    </row>
    <row r="29" spans="1:5" x14ac:dyDescent="0.25">
      <c r="A29" s="2" t="s">
        <v>912</v>
      </c>
      <c r="B29" s="39">
        <v>3</v>
      </c>
      <c r="C29" s="22" t="s">
        <v>594</v>
      </c>
      <c r="D29" s="39">
        <v>20</v>
      </c>
      <c r="E29" t="b">
        <v>0</v>
      </c>
    </row>
    <row r="30" spans="1:5" x14ac:dyDescent="0.25">
      <c r="A30" s="2" t="s">
        <v>912</v>
      </c>
      <c r="B30" s="39">
        <v>5</v>
      </c>
      <c r="C30" s="21" t="s">
        <v>233</v>
      </c>
      <c r="D30" s="39">
        <v>25</v>
      </c>
      <c r="E30" t="b">
        <v>1</v>
      </c>
    </row>
    <row r="31" spans="1:5" x14ac:dyDescent="0.25">
      <c r="A31" s="2" t="s">
        <v>912</v>
      </c>
      <c r="B31" s="39">
        <v>4</v>
      </c>
      <c r="C31" s="22" t="s">
        <v>235</v>
      </c>
      <c r="D31" s="39">
        <v>20</v>
      </c>
      <c r="E31" t="b">
        <v>0</v>
      </c>
    </row>
    <row r="32" spans="1:5" x14ac:dyDescent="0.25">
      <c r="A32" s="39" t="s">
        <v>915</v>
      </c>
      <c r="B32" s="39">
        <v>1</v>
      </c>
      <c r="C32" s="10" t="s">
        <v>615</v>
      </c>
      <c r="D32" s="39">
        <v>20</v>
      </c>
      <c r="E32" t="b">
        <v>0</v>
      </c>
    </row>
    <row r="33" spans="1:5" x14ac:dyDescent="0.25">
      <c r="A33" s="39" t="s">
        <v>915</v>
      </c>
      <c r="B33" s="39">
        <v>2</v>
      </c>
      <c r="C33" s="21" t="s">
        <v>623</v>
      </c>
      <c r="D33" s="39">
        <v>25</v>
      </c>
      <c r="E33" t="b">
        <v>1</v>
      </c>
    </row>
    <row r="34" spans="1:5" x14ac:dyDescent="0.25">
      <c r="A34" s="39" t="s">
        <v>915</v>
      </c>
      <c r="B34" s="39">
        <v>3</v>
      </c>
      <c r="C34" s="22" t="s">
        <v>587</v>
      </c>
      <c r="D34" s="39">
        <v>20</v>
      </c>
      <c r="E34" t="b">
        <v>0</v>
      </c>
    </row>
    <row r="35" spans="1:5" x14ac:dyDescent="0.25">
      <c r="A35" s="39" t="s">
        <v>915</v>
      </c>
      <c r="B35" s="39">
        <v>4</v>
      </c>
      <c r="C35" s="22" t="s">
        <v>587</v>
      </c>
      <c r="D35" s="39">
        <v>20</v>
      </c>
      <c r="E35" t="b">
        <v>0</v>
      </c>
    </row>
    <row r="36" spans="1:5" x14ac:dyDescent="0.25">
      <c r="A36" s="39" t="s">
        <v>915</v>
      </c>
      <c r="B36" s="39">
        <v>5</v>
      </c>
      <c r="C36" s="10" t="s">
        <v>620</v>
      </c>
      <c r="D36" s="39">
        <v>20</v>
      </c>
      <c r="E36" t="b">
        <v>0</v>
      </c>
    </row>
    <row r="37" spans="1:5" x14ac:dyDescent="0.25">
      <c r="A37" s="39" t="s">
        <v>915</v>
      </c>
      <c r="B37" s="39">
        <v>6</v>
      </c>
      <c r="C37" s="22" t="s">
        <v>587</v>
      </c>
      <c r="D37" s="39">
        <v>25</v>
      </c>
      <c r="E37" t="b">
        <v>0</v>
      </c>
    </row>
    <row r="38" spans="1:5" x14ac:dyDescent="0.25">
      <c r="A38" s="2" t="s">
        <v>918</v>
      </c>
      <c r="B38" s="39">
        <v>1</v>
      </c>
      <c r="C38" s="22" t="s">
        <v>587</v>
      </c>
      <c r="D38" s="39">
        <v>25</v>
      </c>
      <c r="E38" t="b">
        <v>0</v>
      </c>
    </row>
    <row r="39" spans="1:5" x14ac:dyDescent="0.25">
      <c r="A39" s="2" t="s">
        <v>918</v>
      </c>
      <c r="B39" s="39">
        <v>2</v>
      </c>
      <c r="C39" s="22" t="s">
        <v>587</v>
      </c>
      <c r="D39" s="39">
        <v>25</v>
      </c>
      <c r="E39" t="b">
        <v>0</v>
      </c>
    </row>
    <row r="40" spans="1:5" x14ac:dyDescent="0.25">
      <c r="A40" s="2" t="s">
        <v>918</v>
      </c>
      <c r="B40" s="39">
        <v>3</v>
      </c>
      <c r="C40" s="22" t="s">
        <v>587</v>
      </c>
      <c r="D40" s="39">
        <v>25</v>
      </c>
      <c r="E40" t="b">
        <v>0</v>
      </c>
    </row>
    <row r="41" spans="1:5" x14ac:dyDescent="0.25">
      <c r="A41" s="2" t="s">
        <v>918</v>
      </c>
      <c r="B41" s="39">
        <v>5</v>
      </c>
      <c r="C41" s="21" t="s">
        <v>622</v>
      </c>
      <c r="D41" s="39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8" bestFit="1" customWidth="1"/>
    <col min="2" max="2" width="9.140625" style="40" customWidth="1"/>
    <col min="3" max="3" width="10.85546875" style="40" bestFit="1" customWidth="1"/>
    <col min="4" max="4" width="9.140625" style="40" customWidth="1"/>
    <col min="5" max="5" width="10.85546875" style="40" bestFit="1" customWidth="1"/>
    <col min="6" max="6" width="13.140625" style="40" bestFit="1" customWidth="1"/>
    <col min="7" max="7" width="10.85546875" style="40" bestFit="1" customWidth="1"/>
    <col min="8" max="8" width="9.140625" style="40" customWidth="1"/>
    <col min="9" max="9" width="10.85546875" style="40" bestFit="1" customWidth="1"/>
  </cols>
  <sheetData>
    <row r="1" spans="1:9" x14ac:dyDescent="0.25">
      <c r="A1" s="11" t="s">
        <v>924</v>
      </c>
      <c r="B1" s="26" t="s">
        <v>925</v>
      </c>
      <c r="C1" s="26" t="s">
        <v>926</v>
      </c>
      <c r="D1" s="26" t="s">
        <v>927</v>
      </c>
      <c r="E1" s="26" t="s">
        <v>928</v>
      </c>
      <c r="F1" s="26" t="s">
        <v>929</v>
      </c>
      <c r="G1" s="26" t="s">
        <v>930</v>
      </c>
      <c r="H1" s="26" t="s">
        <v>931</v>
      </c>
      <c r="I1" s="26" t="s">
        <v>932</v>
      </c>
    </row>
    <row r="2" spans="1:9" x14ac:dyDescent="0.25">
      <c r="A2" t="s">
        <v>896</v>
      </c>
      <c r="B2" s="40" t="s">
        <v>119</v>
      </c>
      <c r="C2" s="40">
        <v>100</v>
      </c>
      <c r="D2" s="40" t="s">
        <v>114</v>
      </c>
      <c r="E2" s="40">
        <v>10000</v>
      </c>
      <c r="F2" s="40" t="s">
        <v>196</v>
      </c>
      <c r="G2" s="40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933</v>
      </c>
      <c r="C1" t="s">
        <v>934</v>
      </c>
      <c r="E1" t="s">
        <v>935</v>
      </c>
      <c r="F1" t="s">
        <v>313</v>
      </c>
      <c r="G1" t="s">
        <v>312</v>
      </c>
      <c r="H1" t="s">
        <v>314</v>
      </c>
      <c r="I1" t="s">
        <v>936</v>
      </c>
      <c r="J1" t="s">
        <v>937</v>
      </c>
      <c r="K1" t="s">
        <v>938</v>
      </c>
      <c r="L1" t="s">
        <v>939</v>
      </c>
      <c r="M1" t="s">
        <v>940</v>
      </c>
      <c r="N1" t="s">
        <v>941</v>
      </c>
      <c r="P1" t="s">
        <v>935</v>
      </c>
      <c r="Q1" t="s">
        <v>942</v>
      </c>
      <c r="R1" t="s">
        <v>943</v>
      </c>
      <c r="S1" t="s">
        <v>944</v>
      </c>
      <c r="T1" t="s">
        <v>945</v>
      </c>
      <c r="U1" t="s">
        <v>946</v>
      </c>
      <c r="V1" t="s">
        <v>947</v>
      </c>
      <c r="W1" t="s">
        <v>948</v>
      </c>
      <c r="X1" t="s">
        <v>949</v>
      </c>
      <c r="Y1" t="s">
        <v>950</v>
      </c>
      <c r="AA1" t="s">
        <v>526</v>
      </c>
      <c r="AB1" t="s">
        <v>951</v>
      </c>
      <c r="AC1" t="s">
        <v>952</v>
      </c>
      <c r="AD1" t="s">
        <v>953</v>
      </c>
      <c r="AE1" t="s">
        <v>954</v>
      </c>
      <c r="AG1" t="s">
        <v>629</v>
      </c>
      <c r="AH1" t="s">
        <v>955</v>
      </c>
      <c r="AI1" t="s">
        <v>956</v>
      </c>
      <c r="AJ1" t="s">
        <v>957</v>
      </c>
      <c r="AK1" t="s">
        <v>958</v>
      </c>
      <c r="AL1" t="s">
        <v>959</v>
      </c>
      <c r="AM1" t="s">
        <v>960</v>
      </c>
      <c r="AN1" t="s">
        <v>961</v>
      </c>
      <c r="AO1" t="s">
        <v>962</v>
      </c>
      <c r="AP1" t="s">
        <v>963</v>
      </c>
    </row>
    <row r="2" spans="1:42" x14ac:dyDescent="0.25">
      <c r="A2" t="s">
        <v>535</v>
      </c>
      <c r="B2">
        <v>1</v>
      </c>
      <c r="C2">
        <v>0</v>
      </c>
      <c r="E2" t="s">
        <v>327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327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531</v>
      </c>
      <c r="AB2">
        <v>1</v>
      </c>
      <c r="AC2">
        <v>1</v>
      </c>
      <c r="AD2">
        <v>1</v>
      </c>
      <c r="AE2">
        <v>0</v>
      </c>
      <c r="AG2" t="s">
        <v>636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539</v>
      </c>
      <c r="B3">
        <v>1.2</v>
      </c>
      <c r="C3">
        <v>1</v>
      </c>
      <c r="E3" t="s">
        <v>320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320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589</v>
      </c>
      <c r="AB3">
        <v>1</v>
      </c>
      <c r="AC3">
        <v>1.4</v>
      </c>
      <c r="AD3">
        <v>1.2</v>
      </c>
      <c r="AE3">
        <v>0</v>
      </c>
      <c r="AG3" t="s">
        <v>635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549</v>
      </c>
      <c r="B4">
        <v>1.45</v>
      </c>
      <c r="C4">
        <v>2</v>
      </c>
      <c r="E4" t="s">
        <v>323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323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569</v>
      </c>
      <c r="AB4">
        <v>1.5</v>
      </c>
      <c r="AC4">
        <v>1.2</v>
      </c>
      <c r="AD4">
        <v>1.2</v>
      </c>
      <c r="AE4">
        <v>10</v>
      </c>
      <c r="AG4" t="s">
        <v>637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530</v>
      </c>
      <c r="B5">
        <v>1.7</v>
      </c>
      <c r="C5">
        <v>3</v>
      </c>
      <c r="E5" t="s">
        <v>325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325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638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338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338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639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553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553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Character</vt:lpstr>
      <vt:lpstr>CharacterStat</vt:lpstr>
      <vt:lpstr>SkillConfig</vt:lpstr>
      <vt:lpstr>CharacterUpgrade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2026-08-19T08:26:41Z</dcterms:modified>
</cp:coreProperties>
</file>