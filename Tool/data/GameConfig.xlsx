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6" activeTab="10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EffectConfig" sheetId="12" r:id="rId7"/>
    <sheet name="CharacterStat" sheetId="6" r:id="rId8"/>
    <sheet name="CharacterAttribute" sheetId="8" r:id="rId9"/>
    <sheet name="CharacterUpgrade" sheetId="7" r:id="rId10"/>
    <sheet name="ExpCurvesConfig" sheetId="13" r:id="rId11"/>
    <sheet name="AscensionConfig" sheetId="14" r:id="rId12"/>
    <sheet name="BattleConfig" sheetId="9" r:id="rId13"/>
    <sheet name="StageEnemies" sheetId="10" r:id="rId14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<sst xmlns="http://schemas.openxmlformats.org/spreadsheetml/2006/main" count="1537" uniqueCount="513">
  <si>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</si>
  <si>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</si>
  <si>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</si>
  <si>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</si>
  <si>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</si>
  <si>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</si>
  <si>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</si>
  <si>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</si>
  <si>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</si>
  <si>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</si>
  <si>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</si>
  <si>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</si>
  <si>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</si>
  <si>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</si>
  <si>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</si>
  <si>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</si>
  <si>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</si>
  <si>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</si>
  <si>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</si>
  <si>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</si>
  <si>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</si>
  <si>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</si>
  <si>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</si>
  <si>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</si>
  <si>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</si>
  <si>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</si>
  <si>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</si>
  <si>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</si>
  <si>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</si>
  <si>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</si>
  <si>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</si>
  <si>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</si>
  <si>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</si>
  <si>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</si>
  <si>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</si>
  <si>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</si>
  <si>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</si>
  <si>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</si>
  <si>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</si>
  <si>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</si>
  <si>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</si>
  <si>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</si>
  <si>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</si>
  <si>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</si>
  <si>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</si>
  <si>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</si>
  <si>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</si>
  <si>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</si>
  <si>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</si>
  <si>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</si>
  <si>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</si>
  <si>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</si>
  <si>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</si>
  <si>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</si>
  <si>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</si>
  <si>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</si>
  <si>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</si>
  <si>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</si>
  <si>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</si>
  <si>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</si>
  <si>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</si>
  <si>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</si>
  <si>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</si>
  <si>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</si>
  <si>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</si>
  <si>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</si>
  <si>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</si>
  <si>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</si>
  <si>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</si>
  <si>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</si>
  <si>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</si>
  <si>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</si>
  <si>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</si>
  <si>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</si>
  <si>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</si>
  <si>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</si>
  <si>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</si>
  <si>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</si>
  <si>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</si>
  <si>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</si>
  <si>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</si>
  <si>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</si>
  <si>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</si>
  <si>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</si>
  <si>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</si>
  <si>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</si>
  <si>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</si>
  <si>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</si>
  <si>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</si>
  <si>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</si>
  <si>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</si>
  <si>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</si>
  <si>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</si>
  <si>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</si>
  <si>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</si>
  <si>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</si>
  <si>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</si>
  <si>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</si>
  <si>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</si>
  <si>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</si>
  <si>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</si>
  <si>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</si>
  <si>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</si>
  <si>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</si>
  <si>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</si>
  <si>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</si>
  <si>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</si>
  <si>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</si>
  <si>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</si>
  <si>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</si>
  <si>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</si>
  <si>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</si>
  <si>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</si>
  <si>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</si>
  <si>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</si>
  <si>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</si>
  <si>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</si>
  <si>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</si>
  <si>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</si>
  <si>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</si>
  <si>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</si>
  <si>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</si>
  <si>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</si>
  <si>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</si>
  <si>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</si>
  <si>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</si>
  <si>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</si>
  <si>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</si>
  <si>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</si>
  <si>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</si>
  <si>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</si>
  <si>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</si>
  <si>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</si>
  <si>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</si>
  <si>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</si>
  <si>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</si>
  <si>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</si>
  <si>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</si>
  <si>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</si>
  <si>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</si>
  <si>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</si>
  <si>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</si>
  <si>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</si>
  <si>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</si>
  <si>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</si>
  <si>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</si>
  <si>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</si>
  <si>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</si>
  <si>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</si>
  <si>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</si>
  <si>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</si>
  <si>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</si>
  <si>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</si>
  <si>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</si>
  <si>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</si>
  <si>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</si>
  <si>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</si>
  <si>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</si>
  <si>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</si>
  <si>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</si>
  <si>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</si>
  <si>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</si>
  <si>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</si>
  <si>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</si>
  <si>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</si>
  <si>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</si>
  <si>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</si>
  <si>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</si>
  <si>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</si>
  <si>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</si>
  <si>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</si>
  <si>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</si>
  <si>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</si>
  <si>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</si>
  <si>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</si>
  <si>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</si>
  <si>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</si>
  <si>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</si>
  <si>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</si>
  <si>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</si>
  <si>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</si>
  <si>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</si>
  <si>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</si>
  <si>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</si>
  <si>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</si>
  <si>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</si>
  <si>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</si>
  <si>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</si>
  <si>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</si>
  <si>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</si>
  <si>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</si>
  <si>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</si>
  <si>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</si>
  <si>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</si>
  <si>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</si>
  <si>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</si>
  <si>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</si>
  <si>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</si>
  <si>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</si>
  <si>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</si>
  <si>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</si>
  <si>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</si>
  <si>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</si>
  <si>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</si>
  <si>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</si>
  <si>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</si>
  <si>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</si>
  <si>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</si>
  <si>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</si>
  <si>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</si>
  <si>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</si>
  <si>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</si>
  <si>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</si>
  <si>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</si>
  <si>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</si>
  <si>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</si>
  <si>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</si>
  <si>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</si>
  <si>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</si>
  <si>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</si>
  <si>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</si>
  <si>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</si>
  <si>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</si>
  <si>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</si>
  <si>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</si>
  <si>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</si>
  <si>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</si>
  <si>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</si>
  <si>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</si>
  <si>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</si>
  <si>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</si>
  <si>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</si>
  <si>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</si>
  <si>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</si>
  <si>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</si>
  <si>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</si>
  <si>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</si>
  <si>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</si>
  <si>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</si>
  <si>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</si>
  <si>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</si>
  <si>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</si>
  <si>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</si>
  <si>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</si>
  <si>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</si>
  <si>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</si>
  <si>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</si>
  <si>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</si>
  <si>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</si>
  <si>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</si>
  <si>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</si>
  <si>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</si>
  <si>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</si>
  <si>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</si>
  <si>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</si>
  <si>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</si>
  <si>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</si>
  <si>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</si>
  <si>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</si>
  <si>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</si>
  <si>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</si>
  <si>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</si>
  <si>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</si>
  <si>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</si>
  <si>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</si>
  <si>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</si>
  <si>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</si>
  <si>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</si>
  <si>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</si>
  <si>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</si>
  <si>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</si>
  <si>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</si>
  <si>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</si>
  <si>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</si>
  <si>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</si>
  <si>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</si>
  <si>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</si>
  <si>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</si>
  <si>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</si>
  <si>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</si>
  <si>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</si>
  <si>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</si>
  <si>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</si>
  <si>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</si>
  <si>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</si>
  <si>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</si>
  <si>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</si>
  <si>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</si>
  <si>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</si>
  <si>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</si>
  <si>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</si>
  <si>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</si>
  <si>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</si>
  <si>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</si>
  <si>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</si>
  <si>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</si>
  <si>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</si>
  <si>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</si>
  <si>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</si>
  <si>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</si>
  <si>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</si>
  <si>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</si>
  <si>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</si>
  <si>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</si>
  <si>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</si>
  <si>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</si>
  <si>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</si>
  <si>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</si>
  <si>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</si>
  <si>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</si>
  <si>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</si>
  <si>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</si>
  <si>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</si>
  <si>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</si>
  <si>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</si>
  <si>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</si>
  <si>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</si>
  <si>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</si>
  <si>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</si>
  <si>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</si>
  <si>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</si>
  <si>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</si>
  <si>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</si>
  <si>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</si>
  <si>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</si>
  <si>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</si>
  <si>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</si>
  <si>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</si>
  <si>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</si>
  <si>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</si>
  <si>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</si>
  <si>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</si>
  <si>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</si>
  <si>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</si>
  <si>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</si>
  <si>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</si>
  <si>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</si>
  <si>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</si>
  <si>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</si>
  <si>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</si>
  <si>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</si>
  <si>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</si>
  <si>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</si>
  <si>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</si>
  <si>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</si>
  <si>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</si>
  <si>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</si>
  <si>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</si>
  <si>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</si>
  <si>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</si>
  <si>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</si>
  <si>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</si>
  <si>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</si>
  <si>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</si>
  <si>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</si>
  <si>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</si>
  <si>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</si>
  <si>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</si>
  <si>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</si>
  <si>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</si>
  <si>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</si>
  <si>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</si>
  <si>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</si>
  <si>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</si>
  <si>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</si>
  <si>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</si>
  <si>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</si>
  <si>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</si>
  <si>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</si>
  <si>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</si>
  <si>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</si>
  <si>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</si>
  <si>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</si>
  <si>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</si>
  <si>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</si>
  <si>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</si>
  <si>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</si>
  <si>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</si>
  <si>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</si>
  <si>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</si>
  <si>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</si>
  <si>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</si>
  <si>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</si>
  <si>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</si>
  <si>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</si>
  <si>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</si>
  <si>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</si>
  <si>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</si>
  <si>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</si>
  <si>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</si>
  <si>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</si>
  <si>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</si>
  <si>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</si>
  <si>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</si>
  <si>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</si>
  <si>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</si>
  <si>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</si>
  <si>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</si>
  <si>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</si>
  <si>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</si>
  <si>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</si>
  <si>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</si>
  <si>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</si>
  <si>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</si>
  <si>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</si>
  <si>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</si>
  <si>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</si>
  <si>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</si>
  <si>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</si>
  <si>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</si>
  <si>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</si>
  <si>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</si>
  <si>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</si>
  <si>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</si>
  <si>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</si>
  <si>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</si>
  <si>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</si>
  <si>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</si>
  <si>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</si>
  <si>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</si>
  <si>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</si>
  <si>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</si>
  <si>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</si>
  <si>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</si>
  <si>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</si>
  <si>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</si>
  <si>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</si>
  <si>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</si>
  <si>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</si>
  <si>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</si>
  <si>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</si>
  <si>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</si>
  <si>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</si>
  <si>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</si>
  <si>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</si>
  <si>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</si>
  <si>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</si>
  <si>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</si>
  <si>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</si>
  <si>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</si>
  <si>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</si>
  <si>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</si>
  <si>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</si>
  <si>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</si>
  <si>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</si>
  <si>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</si>
  <si>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</si>
  <si>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</si>
  <si>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</si>
  <si>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</si>
  <si>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</si>
  <si>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</si>
  <si>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</si>
  <si>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</si>
  <si>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</si>
  <si>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</si>
  <si>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</si>
  <si>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</si>
  <si>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</si>
  <si>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</si>
  <si>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</si>
  <si>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</si>
  <si>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</si>
  <si>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</si>
  <si>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</si>
  <si>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</si>
  <si>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</si>
  <si>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</si>
  <si>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</si>
  <si>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</si>
  <si>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</si>
  <si>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</si>
  <si>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</si>
  <si>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</si>
  <si>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</si>
  <si>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</si>
  <si>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</si>
  <si>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</si>
  <si>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</si>
  <si>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</si>
  <si>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</si>
  <si>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</si>
  <si>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</si>
  <si>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</si>
  <si>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</si>
  <si>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</si>
  <si>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</si>
  <si>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</si>
  <si>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</si>
  <si>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</si>
  <si>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random_substat_pool</t>
  </si>
  <si>
    <t>modifier_type</t>
  </si>
  <si>
    <t>hp,100, 1000, Constant|def,50,150, Constant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</si>
  <si>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</si>
  <si>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</si>
  <si>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</si>
  <si>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</si>
  <si>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</si>
  <si>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</si>
  <si>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</si>
  <si>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</si>
  <si>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</si>
  <si>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</si>
  <si>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</si>
  <si>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</si>
  <si>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</si>
  <si>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Cost_Gold</t>
  </si>
  <si>
    <t>ItemID_01</t>
  </si>
  <si>
    <t>Item_01_Qty</t>
  </si>
  <si>
    <t>ascension_r</t>
  </si>
  <si>
    <t>ascension_sr</t>
  </si>
  <si>
    <t>ascension_ssr</t>
  </si>
  <si>
    <t>ascension_ur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</si>
</sst>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27" workbookViewId="0">
      <selection activeCell="A28" sqref="A28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B2" sqref="B2:B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>
      <selection activeCell="N27" sqref="N27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40.7109375" bestFit="1" customWidth="1"/>
  </cols>
  <sheetData>
    <row r="1" spans="1:7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491</v>
      </c>
      <c r="G1" s="18" t="s">
        <v>490</v>
      </c>
    </row>
    <row r="2" spans="1:7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s="8" t="s">
        <v>492</v>
      </c>
    </row>
    <row r="3" spans="1:7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s="8" t="s">
        <v>492</v>
      </c>
    </row>
    <row r="4" spans="1:7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s="8" t="s">
        <v>492</v>
      </c>
    </row>
    <row r="5" spans="1:7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s="8" t="s">
        <v>492</v>
      </c>
    </row>
    <row r="6" spans="1:7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s="8" t="s">
        <v>492</v>
      </c>
    </row>
    <row r="7" spans="1:7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s="8" t="s">
        <v>492</v>
      </c>
    </row>
    <row r="8" spans="1:7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s="8" t="s">
        <v>492</v>
      </c>
    </row>
    <row r="9" spans="1:7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s="8" t="s">
        <v>492</v>
      </c>
    </row>
    <row r="10" spans="1:7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s="8" t="s">
        <v>492</v>
      </c>
    </row>
    <row r="11" spans="1:7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s="8" t="s">
        <v>492</v>
      </c>
    </row>
    <row r="12" spans="1:7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s="8" t="s">
        <v>492</v>
      </c>
    </row>
    <row r="13" spans="1:7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s="8" t="s">
        <v>492</v>
      </c>
    </row>
    <row r="14" spans="1:7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s="8" t="s">
        <v>492</v>
      </c>
    </row>
    <row r="15" spans="1:7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s="8" t="s">
        <v>492</v>
      </c>
    </row>
    <row r="16" spans="1:7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s="8" t="s">
        <v>492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s="8" t="s">
        <v>492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s="8" t="s">
        <v>492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s="8" t="s">
        <v>492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s="8" t="s">
        <v>492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s="8" t="s">
        <v>492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s="8" t="s">
        <v>492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s="8" t="s">
        <v>492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s="8" t="s">
        <v>492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s="8" t="s">
        <v>492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s="8" t="s">
        <v>492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s="8" t="s">
        <v>492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s="8" t="s">
        <v>492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s="8" t="s">
        <v>492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s="8" t="s">
        <v>492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s="8" t="s">
        <v>492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s="8" t="s">
        <v>492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s="8" t="s">
        <v>492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s="8" t="s">
        <v>492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s="8" t="s">
        <v>492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s="8" t="s">
        <v>492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s="8" t="s">
        <v>492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C3" sqref="C3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opLeftCell="A14" zoomScaleNormal="100" workbookViewId="0">
      <selection activeCell="A34" sqref="A34:XFD34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  <col min="10" max="10" width="24.28515625" bestFit="1" customWidth="1"/>
  </cols>
  <sheetData>
    <row r="1" spans="1:10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  <c r="J1" s="18" t="s">
        <v>451</v>
      </c>
    </row>
    <row r="2" spans="1:10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  <c r="J2" s="32" t="s">
        <v>452</v>
      </c>
    </row>
    <row r="3" spans="1:10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410</v>
      </c>
      <c r="I3" s="7" t="s">
        <v>350</v>
      </c>
      <c r="J3" s="32" t="s">
        <v>455</v>
      </c>
    </row>
    <row r="4" spans="1:10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408</v>
      </c>
      <c r="I4" s="7" t="s">
        <v>350</v>
      </c>
      <c r="J4" s="32" t="s">
        <v>454</v>
      </c>
    </row>
    <row r="5" spans="1:10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  <c r="J5" s="32" t="s">
        <v>453</v>
      </c>
    </row>
    <row r="6" spans="1:10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s="8" t="s">
        <v>409</v>
      </c>
      <c r="I6" s="7" t="s">
        <v>350</v>
      </c>
      <c r="J6" s="32" t="s">
        <v>457</v>
      </c>
    </row>
    <row r="7" spans="1:10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408</v>
      </c>
      <c r="I7" t="s">
        <v>416</v>
      </c>
      <c r="J7" s="32" t="s">
        <v>461</v>
      </c>
    </row>
    <row r="8" spans="1:10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  <c r="J8" s="32" t="s">
        <v>463</v>
      </c>
    </row>
    <row r="9" spans="1:10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s="8" t="s">
        <v>409</v>
      </c>
      <c r="I9" s="7" t="s">
        <v>350</v>
      </c>
      <c r="J9" s="32" t="s">
        <v>458</v>
      </c>
    </row>
    <row r="10" spans="1:10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408</v>
      </c>
      <c r="I10" s="7" t="s">
        <v>350</v>
      </c>
      <c r="J10" s="32" t="s">
        <v>466</v>
      </c>
    </row>
    <row r="11" spans="1:10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  <c r="J11" s="32" t="s">
        <v>464</v>
      </c>
    </row>
    <row r="12" spans="1:10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s="8" t="s">
        <v>409</v>
      </c>
      <c r="I12" t="s">
        <v>419</v>
      </c>
      <c r="J12" s="32" t="s">
        <v>459</v>
      </c>
    </row>
    <row r="13" spans="1:10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408</v>
      </c>
      <c r="I13" s="7" t="s">
        <v>350</v>
      </c>
      <c r="J13" s="32" t="s">
        <v>467</v>
      </c>
    </row>
    <row r="14" spans="1:10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10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408</v>
      </c>
      <c r="I15" s="7" t="s">
        <v>350</v>
      </c>
    </row>
    <row r="16" spans="1:10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408</v>
      </c>
      <c r="I16" s="7" t="s">
        <v>350</v>
      </c>
    </row>
    <row r="17" spans="1:10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  <c r="J17" t="s">
        <v>469</v>
      </c>
    </row>
    <row r="18" spans="1:10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408</v>
      </c>
      <c r="I18" s="7" t="s">
        <v>350</v>
      </c>
      <c r="J18" t="s">
        <v>472</v>
      </c>
    </row>
    <row r="19" spans="1:10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408</v>
      </c>
      <c r="I19" s="7" t="s">
        <v>350</v>
      </c>
      <c r="J19" t="s">
        <v>471</v>
      </c>
    </row>
    <row r="20" spans="1:10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  <c r="J20" t="s">
        <v>465</v>
      </c>
    </row>
    <row r="21" spans="1:10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408</v>
      </c>
      <c r="I21" s="7" t="s">
        <v>350</v>
      </c>
      <c r="J21" t="s">
        <v>460</v>
      </c>
    </row>
    <row r="22" spans="1:10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408</v>
      </c>
      <c r="I22" s="7" t="s">
        <v>350</v>
      </c>
      <c r="J22" t="s">
        <v>468</v>
      </c>
    </row>
    <row r="23" spans="1:10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  <c r="J23" t="s">
        <v>456</v>
      </c>
    </row>
    <row r="24" spans="1:10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409</v>
      </c>
      <c r="I24" t="s">
        <v>418</v>
      </c>
      <c r="J24" s="8" t="s">
        <v>473</v>
      </c>
    </row>
    <row r="25" spans="1:10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408</v>
      </c>
      <c r="I25" t="s">
        <v>415</v>
      </c>
      <c r="J25" s="8" t="s">
        <v>479</v>
      </c>
    </row>
    <row r="26" spans="1:10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10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408</v>
      </c>
      <c r="I27" s="7" t="s">
        <v>350</v>
      </c>
    </row>
    <row r="28" spans="1:10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408</v>
      </c>
      <c r="I28" s="7" t="s">
        <v>350</v>
      </c>
    </row>
    <row r="29" spans="1:10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10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408</v>
      </c>
      <c r="I30" s="7" t="s">
        <v>350</v>
      </c>
    </row>
    <row r="31" spans="1:10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408</v>
      </c>
      <c r="I31" s="7" t="s">
        <v>350</v>
      </c>
    </row>
    <row r="32" spans="1:10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  <c r="J32" t="s">
        <v>456</v>
      </c>
    </row>
    <row r="33" spans="1:10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  <c r="J33" t="s">
        <v>470</v>
      </c>
    </row>
    <row r="34" spans="1:10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408</v>
      </c>
      <c r="I34" s="7" t="s">
        <v>350</v>
      </c>
      <c r="J34" t="s">
        <v>474</v>
      </c>
    </row>
    <row r="35" spans="1:10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408</v>
      </c>
      <c r="I35" s="7" t="s">
        <v>350</v>
      </c>
      <c r="J35" t="s">
        <v>476</v>
      </c>
    </row>
    <row r="36" spans="1:10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  <c r="J36" t="s">
        <v>484</v>
      </c>
    </row>
    <row r="37" spans="1:10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408</v>
      </c>
      <c r="I37" s="7" t="s">
        <v>350</v>
      </c>
      <c r="J37" t="s">
        <v>485</v>
      </c>
    </row>
    <row r="38" spans="1:10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408</v>
      </c>
      <c r="I38" s="7" t="s">
        <v>350</v>
      </c>
      <c r="J38" t="s">
        <v>486</v>
      </c>
    </row>
    <row r="39" spans="1:10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  <c r="J39" t="s">
        <v>480</v>
      </c>
    </row>
    <row r="40" spans="1:10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408</v>
      </c>
      <c r="I40" s="7" t="s">
        <v>350</v>
      </c>
      <c r="J40" t="s">
        <v>482</v>
      </c>
    </row>
    <row r="41" spans="1:10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408</v>
      </c>
      <c r="I41" s="7" t="s">
        <v>350</v>
      </c>
      <c r="J41" t="s">
        <v>486</v>
      </c>
    </row>
    <row r="42" spans="1:10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  <c r="J42" t="s">
        <v>475</v>
      </c>
    </row>
    <row r="43" spans="1:10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408</v>
      </c>
      <c r="I43" s="7" t="s">
        <v>350</v>
      </c>
      <c r="J43" t="s">
        <v>477</v>
      </c>
    </row>
    <row r="44" spans="1:10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408</v>
      </c>
      <c r="I44" s="7" t="s">
        <v>350</v>
      </c>
      <c r="J44" t="s">
        <v>478</v>
      </c>
    </row>
    <row r="45" spans="1:10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  <c r="J45" t="s">
        <v>481</v>
      </c>
    </row>
    <row r="46" spans="1:10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408</v>
      </c>
      <c r="I46" s="7" t="s">
        <v>350</v>
      </c>
      <c r="J46" t="s">
        <v>483</v>
      </c>
    </row>
    <row r="47" spans="1:10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408</v>
      </c>
      <c r="I47" t="s">
        <v>416</v>
      </c>
      <c r="J47" t="s">
        <v>487</v>
      </c>
    </row>
    <row r="48" spans="1:10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A13" sqref="A13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/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abSelected="1" workbookViewId="0">
      <selection activeCell="N23" sqref="N23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493</v>
      </c>
      <c r="C1" s="18" t="s">
        <v>494</v>
      </c>
      <c r="D1" s="18" t="s">
        <v>495</v>
      </c>
      <c r="E1" s="18" t="s">
        <v>496</v>
      </c>
      <c r="F1" s="18" t="s">
        <v>499</v>
      </c>
      <c r="G1" s="18" t="s">
        <v>500</v>
      </c>
      <c r="H1" s="18" t="s">
        <v>501</v>
      </c>
      <c r="I1" s="18" t="s">
        <v>502</v>
      </c>
    </row>
    <row r="2" spans="1:17" x14ac:dyDescent="0.25">
      <c r="A2" s="7">
        <v>1</v>
      </c>
      <c r="B2">
        <f>ROUND( $N$3*POWER(A2-1,$N$4), 0)</f>
        <v>0</v>
      </c>
      <c r="C2">
        <f>ROUND($O$3*POWER(A2 -1,$O$4), 0)</f>
        <v>0</v>
      </c>
      <c r="D2">
        <f>ROUND($P$3 * POWER(A2 - 1, $P$4), 0)</f>
        <v>0</v>
      </c>
      <c r="E2">
        <f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493</v>
      </c>
      <c r="O2" s="18" t="s">
        <v>494</v>
      </c>
      <c r="P2" s="18" t="s">
        <v>495</v>
      </c>
      <c r="Q2" s="18" t="s">
        <v>496</v>
      </c>
    </row>
    <row r="3" spans="1:17" x14ac:dyDescent="0.25">
      <c r="A3" s="8">
        <v>2</v>
      </c>
      <c r="B3">
        <f>ROUND( $N$3*POWER(A3-1,$N$4), 0)</f>
        <v>100</v>
      </c>
      <c r="C3">
        <f>ROUND($O$3*POWER(A3 -1,$O$4), 0)</f>
        <v>150</v>
      </c>
      <c r="D3">
        <f>ROUND($P$3 * POWER(A3 - 1, $P$4), 0)</f>
        <v>200</v>
      </c>
      <c r="E3">
        <f>ROUND($Q$3 * POWER(A3 - 1, $Q$4), 0)</f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>ROUND( $N$3*POWER(A4-1,$N$4), 0)</f>
        <v>303</v>
      </c>
      <c r="C4">
        <f>ROUND($O$3*POWER(A4 -1,$O$4), 0)</f>
        <v>487</v>
      </c>
      <c r="D4">
        <f>ROUND($P$3 * POWER(A4 - 1, $P$4), 0)</f>
        <v>696</v>
      </c>
      <c r="E4">
        <f>ROUND($Q$3 * POWER(A4 - 1, $Q$4), 0)</f>
        <v>933</v>
      </c>
      <c r="F4">
        <f t="shared" ref="F4:F67" si="0" xml:space="preserve"> B4-B3</f>
        <v>203</v>
      </c>
      <c r="G4">
        <f t="shared" ref="G4:G67" si="1">C4-C3</f>
        <v>337</v>
      </c>
      <c r="H4">
        <f t="shared" ref="H4:H67" si="2">D4-D3</f>
        <v>496</v>
      </c>
      <c r="I4">
        <f t="shared" ref="I4:I67" si="3">E4-E3</f>
        <v>683</v>
      </c>
      <c r="M4" s="12" t="s">
        <v>498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>ROUND( $N$3*POWER(A5-1,$N$4), 0)</f>
        <v>580</v>
      </c>
      <c r="C5">
        <f>ROUND($O$3*POWER(A5 -1,$O$4), 0)</f>
        <v>971</v>
      </c>
      <c r="D5">
        <f>ROUND($P$3 * POWER(A5 - 1, $P$4), 0)</f>
        <v>1445</v>
      </c>
      <c r="E5">
        <f>ROUND($Q$3 * POWER(A5 - 1, $Q$4), 0)</f>
        <v>2016</v>
      </c>
      <c r="F5">
        <f t="shared" si="0"/>
        <v>277</v>
      </c>
      <c r="G5">
        <f t="shared" si="1"/>
        <v>484</v>
      </c>
      <c r="H5">
        <f t="shared" si="2"/>
        <v>749</v>
      </c>
      <c r="I5">
        <f t="shared" si="3"/>
        <v>1083</v>
      </c>
    </row>
    <row r="6" spans="1:17" x14ac:dyDescent="0.25">
      <c r="A6" s="7">
        <v>5</v>
      </c>
      <c r="B6">
        <f>ROUND( $N$3*POWER(A6-1,$N$4), 0)</f>
        <v>919</v>
      </c>
      <c r="C6">
        <f>ROUND($O$3*POWER(A6 -1,$O$4), 0)</f>
        <v>1583</v>
      </c>
      <c r="D6">
        <f>ROUND($P$3 * POWER(A6 - 1, $P$4), 0)</f>
        <v>2425</v>
      </c>
      <c r="E6">
        <f>ROUND($Q$3 * POWER(A6 - 1, $Q$4), 0)</f>
        <v>3482</v>
      </c>
      <c r="F6">
        <f t="shared" si="0"/>
        <v>339</v>
      </c>
      <c r="G6">
        <f t="shared" si="1"/>
        <v>612</v>
      </c>
      <c r="H6">
        <f t="shared" si="2"/>
        <v>980</v>
      </c>
      <c r="I6">
        <f t="shared" si="3"/>
        <v>1466</v>
      </c>
    </row>
    <row r="7" spans="1:17" x14ac:dyDescent="0.25">
      <c r="A7" s="8">
        <v>6</v>
      </c>
      <c r="B7">
        <f>ROUND( $N$3*POWER(A7-1,$N$4), 0)</f>
        <v>1313</v>
      </c>
      <c r="C7">
        <f>ROUND($O$3*POWER(A7 -1,$O$4), 0)</f>
        <v>2314</v>
      </c>
      <c r="D7">
        <f>ROUND($P$3 * POWER(A7 - 1, $P$4), 0)</f>
        <v>3624</v>
      </c>
      <c r="E7">
        <f>ROUND($Q$3 * POWER(A7 - 1, $Q$4), 0)</f>
        <v>5321</v>
      </c>
      <c r="F7">
        <f t="shared" si="0"/>
        <v>394</v>
      </c>
      <c r="G7">
        <f t="shared" si="1"/>
        <v>731</v>
      </c>
      <c r="H7">
        <f t="shared" si="2"/>
        <v>1199</v>
      </c>
      <c r="I7">
        <f t="shared" si="3"/>
        <v>1839</v>
      </c>
    </row>
    <row r="8" spans="1:17" x14ac:dyDescent="0.25">
      <c r="A8" s="7">
        <v>7</v>
      </c>
      <c r="B8">
        <f>ROUND( $N$3*POWER(A8-1,$N$4), 0)</f>
        <v>1758</v>
      </c>
      <c r="C8">
        <f>ROUND($O$3*POWER(A8 -1,$O$4), 0)</f>
        <v>3155</v>
      </c>
      <c r="D8">
        <f>ROUND($P$3 * POWER(A8 - 1, $P$4), 0)</f>
        <v>5032</v>
      </c>
      <c r="E8">
        <f>ROUND($Q$3 * POWER(A8 - 1, $Q$4), 0)</f>
        <v>7524</v>
      </c>
      <c r="F8">
        <f t="shared" si="0"/>
        <v>445</v>
      </c>
      <c r="G8">
        <f t="shared" si="1"/>
        <v>841</v>
      </c>
      <c r="H8">
        <f t="shared" si="2"/>
        <v>1408</v>
      </c>
      <c r="I8">
        <f t="shared" si="3"/>
        <v>2203</v>
      </c>
    </row>
    <row r="9" spans="1:17" x14ac:dyDescent="0.25">
      <c r="A9" s="8">
        <v>8</v>
      </c>
      <c r="B9">
        <f>ROUND( $N$3*POWER(A9-1,$N$4), 0)</f>
        <v>2250</v>
      </c>
      <c r="C9">
        <f>ROUND($O$3*POWER(A9 -1,$O$4), 0)</f>
        <v>4100</v>
      </c>
      <c r="D9">
        <f>ROUND($P$3 * POWER(A9 - 1, $P$4), 0)</f>
        <v>6641</v>
      </c>
      <c r="E9">
        <f>ROUND($Q$3 * POWER(A9 - 1, $Q$4), 0)</f>
        <v>10084</v>
      </c>
      <c r="F9">
        <f t="shared" si="0"/>
        <v>492</v>
      </c>
      <c r="G9">
        <f t="shared" si="1"/>
        <v>945</v>
      </c>
      <c r="H9">
        <f t="shared" si="2"/>
        <v>1609</v>
      </c>
      <c r="I9">
        <f t="shared" si="3"/>
        <v>2560</v>
      </c>
    </row>
    <row r="10" spans="1:17" x14ac:dyDescent="0.25">
      <c r="A10" s="7">
        <v>9</v>
      </c>
      <c r="B10">
        <f>ROUND( $N$3*POWER(A10-1,$N$4), 0)</f>
        <v>2786</v>
      </c>
      <c r="C10">
        <f>ROUND($O$3*POWER(A10 -1,$O$4), 0)</f>
        <v>5145</v>
      </c>
      <c r="D10">
        <f>ROUND($P$3 * POWER(A10 - 1, $P$4), 0)</f>
        <v>8445</v>
      </c>
      <c r="E10">
        <f>ROUND($Q$3 * POWER(A10 - 1, $Q$4), 0)</f>
        <v>12996</v>
      </c>
      <c r="F10">
        <f t="shared" si="0"/>
        <v>536</v>
      </c>
      <c r="G10">
        <f t="shared" si="1"/>
        <v>1045</v>
      </c>
      <c r="H10">
        <f t="shared" si="2"/>
        <v>1804</v>
      </c>
      <c r="I10">
        <f t="shared" si="3"/>
        <v>2912</v>
      </c>
    </row>
    <row r="11" spans="1:17" x14ac:dyDescent="0.25">
      <c r="A11" s="8">
        <v>10</v>
      </c>
      <c r="B11">
        <f>ROUND( $N$3*POWER(A11-1,$N$4), 0)</f>
        <v>3363</v>
      </c>
      <c r="C11">
        <f>ROUND($O$3*POWER(A11 -1,$O$4), 0)</f>
        <v>6285</v>
      </c>
      <c r="D11">
        <f>ROUND($P$3 * POWER(A11 - 1, $P$4), 0)</f>
        <v>10439</v>
      </c>
      <c r="E11">
        <f>ROUND($Q$3 * POWER(A11 - 1, $Q$4), 0)</f>
        <v>16256</v>
      </c>
      <c r="F11">
        <f t="shared" si="0"/>
        <v>577</v>
      </c>
      <c r="G11">
        <f t="shared" si="1"/>
        <v>1140</v>
      </c>
      <c r="H11">
        <f t="shared" si="2"/>
        <v>1994</v>
      </c>
      <c r="I11">
        <f t="shared" si="3"/>
        <v>3260</v>
      </c>
    </row>
    <row r="12" spans="1:17" x14ac:dyDescent="0.25">
      <c r="A12" s="7">
        <v>11</v>
      </c>
      <c r="B12">
        <f>ROUND( $N$3*POWER(A12-1,$N$4), 0)</f>
        <v>3981</v>
      </c>
      <c r="C12">
        <f>ROUND($O$3*POWER(A12 -1,$O$4), 0)</f>
        <v>7518</v>
      </c>
      <c r="D12">
        <f>ROUND($P$3 * POWER(A12 - 1, $P$4), 0)</f>
        <v>12619</v>
      </c>
      <c r="E12">
        <f>ROUND($Q$3 * POWER(A12 - 1, $Q$4), 0)</f>
        <v>19858</v>
      </c>
      <c r="F12">
        <f t="shared" si="0"/>
        <v>618</v>
      </c>
      <c r="G12">
        <f t="shared" si="1"/>
        <v>1233</v>
      </c>
      <c r="H12">
        <f t="shared" si="2"/>
        <v>2180</v>
      </c>
      <c r="I12">
        <f t="shared" si="3"/>
        <v>3602</v>
      </c>
    </row>
    <row r="13" spans="1:17" x14ac:dyDescent="0.25">
      <c r="A13" s="8">
        <v>12</v>
      </c>
      <c r="B13">
        <f>ROUND( $N$3*POWER(A13-1,$N$4), 0)</f>
        <v>4637</v>
      </c>
      <c r="C13">
        <f>ROUND($O$3*POWER(A13 -1,$O$4), 0)</f>
        <v>8840</v>
      </c>
      <c r="D13">
        <f>ROUND($P$3 * POWER(A13 - 1, $P$4), 0)</f>
        <v>14981</v>
      </c>
      <c r="E13">
        <f>ROUND($Q$3 * POWER(A13 - 1, $Q$4), 0)</f>
        <v>23801</v>
      </c>
      <c r="F13">
        <f t="shared" si="0"/>
        <v>656</v>
      </c>
      <c r="G13">
        <f t="shared" si="1"/>
        <v>1322</v>
      </c>
      <c r="H13">
        <f t="shared" si="2"/>
        <v>2362</v>
      </c>
      <c r="I13">
        <f t="shared" si="3"/>
        <v>3943</v>
      </c>
    </row>
    <row r="14" spans="1:17" x14ac:dyDescent="0.25">
      <c r="A14" s="7">
        <v>13</v>
      </c>
      <c r="B14">
        <f>ROUND( $N$3*POWER(A14-1,$N$4), 0)</f>
        <v>5330</v>
      </c>
      <c r="C14">
        <f>ROUND($O$3*POWER(A14 -1,$O$4), 0)</f>
        <v>10249</v>
      </c>
      <c r="D14">
        <f>ROUND($P$3 * POWER(A14 - 1, $P$4), 0)</f>
        <v>17521</v>
      </c>
      <c r="E14">
        <f>ROUND($Q$3 * POWER(A14 - 1, $Q$4), 0)</f>
        <v>28079</v>
      </c>
      <c r="F14">
        <f t="shared" si="0"/>
        <v>693</v>
      </c>
      <c r="G14">
        <f t="shared" si="1"/>
        <v>1409</v>
      </c>
      <c r="H14">
        <f t="shared" si="2"/>
        <v>2540</v>
      </c>
      <c r="I14">
        <f t="shared" si="3"/>
        <v>4278</v>
      </c>
    </row>
    <row r="15" spans="1:17" x14ac:dyDescent="0.25">
      <c r="A15" s="8">
        <v>14</v>
      </c>
      <c r="B15">
        <f>ROUND( $N$3*POWER(A15-1,$N$4), 0)</f>
        <v>6058</v>
      </c>
      <c r="C15">
        <f>ROUND($O$3*POWER(A15 -1,$O$4), 0)</f>
        <v>11743</v>
      </c>
      <c r="D15">
        <f>ROUND($P$3 * POWER(A15 - 1, $P$4), 0)</f>
        <v>20236</v>
      </c>
      <c r="E15">
        <f>ROUND($Q$3 * POWER(A15 - 1, $Q$4), 0)</f>
        <v>32691</v>
      </c>
      <c r="F15">
        <f t="shared" si="0"/>
        <v>728</v>
      </c>
      <c r="G15">
        <f t="shared" si="1"/>
        <v>1494</v>
      </c>
      <c r="H15">
        <f t="shared" si="2"/>
        <v>2715</v>
      </c>
      <c r="I15">
        <f t="shared" si="3"/>
        <v>4612</v>
      </c>
    </row>
    <row r="16" spans="1:17" x14ac:dyDescent="0.25">
      <c r="A16" s="7">
        <v>15</v>
      </c>
      <c r="B16">
        <f>ROUND( $N$3*POWER(A16-1,$N$4), 0)</f>
        <v>6820</v>
      </c>
      <c r="C16">
        <f>ROUND($O$3*POWER(A16 -1,$O$4), 0)</f>
        <v>13320</v>
      </c>
      <c r="D16">
        <f>ROUND($P$3 * POWER(A16 - 1, $P$4), 0)</f>
        <v>23124</v>
      </c>
      <c r="E16">
        <f>ROUND($Q$3 * POWER(A16 - 1, $Q$4), 0)</f>
        <v>37634</v>
      </c>
      <c r="F16">
        <f t="shared" si="0"/>
        <v>762</v>
      </c>
      <c r="G16">
        <f t="shared" si="1"/>
        <v>1577</v>
      </c>
      <c r="H16">
        <f t="shared" si="2"/>
        <v>2888</v>
      </c>
      <c r="I16">
        <f t="shared" si="3"/>
        <v>4943</v>
      </c>
    </row>
    <row r="17" spans="1:9" x14ac:dyDescent="0.25">
      <c r="A17" s="8">
        <v>16</v>
      </c>
      <c r="B17">
        <f>ROUND( $N$3*POWER(A17-1,$N$4), 0)</f>
        <v>7616</v>
      </c>
      <c r="C17">
        <f>ROUND($O$3*POWER(A17 -1,$O$4), 0)</f>
        <v>14978</v>
      </c>
      <c r="D17">
        <f>ROUND($P$3 * POWER(A17 - 1, $P$4), 0)</f>
        <v>26181</v>
      </c>
      <c r="E17">
        <f>ROUND($Q$3 * POWER(A17 - 1, $Q$4), 0)</f>
        <v>42906</v>
      </c>
      <c r="F17">
        <f t="shared" si="0"/>
        <v>796</v>
      </c>
      <c r="G17">
        <f t="shared" si="1"/>
        <v>1658</v>
      </c>
      <c r="H17">
        <f t="shared" si="2"/>
        <v>3057</v>
      </c>
      <c r="I17">
        <f t="shared" si="3"/>
        <v>5272</v>
      </c>
    </row>
    <row r="18" spans="1:9" x14ac:dyDescent="0.25">
      <c r="A18" s="7">
        <v>17</v>
      </c>
      <c r="B18">
        <f>ROUND( $N$3*POWER(A18-1,$N$4), 0)</f>
        <v>8445</v>
      </c>
      <c r="C18">
        <f>ROUND($O$3*POWER(A18 -1,$O$4), 0)</f>
        <v>16715</v>
      </c>
      <c r="D18">
        <f>ROUND($P$3 * POWER(A18 - 1, $P$4), 0)</f>
        <v>29407</v>
      </c>
      <c r="E18">
        <f>ROUND($Q$3 * POWER(A18 - 1, $Q$4), 0)</f>
        <v>48503</v>
      </c>
      <c r="F18">
        <f t="shared" si="0"/>
        <v>829</v>
      </c>
      <c r="G18">
        <f t="shared" si="1"/>
        <v>1737</v>
      </c>
      <c r="H18">
        <f t="shared" si="2"/>
        <v>3226</v>
      </c>
      <c r="I18">
        <f t="shared" si="3"/>
        <v>5597</v>
      </c>
    </row>
    <row r="19" spans="1:9" x14ac:dyDescent="0.25">
      <c r="A19" s="8">
        <v>18</v>
      </c>
      <c r="B19">
        <f>ROUND( $N$3*POWER(A19-1,$N$4), 0)</f>
        <v>9305</v>
      </c>
      <c r="C19">
        <f>ROUND($O$3*POWER(A19 -1,$O$4), 0)</f>
        <v>18529</v>
      </c>
      <c r="D19">
        <f>ROUND($P$3 * POWER(A19 - 1, $P$4), 0)</f>
        <v>32797</v>
      </c>
      <c r="E19">
        <f>ROUND($Q$3 * POWER(A19 - 1, $Q$4), 0)</f>
        <v>54424</v>
      </c>
      <c r="F19">
        <f t="shared" si="0"/>
        <v>860</v>
      </c>
      <c r="G19">
        <f t="shared" si="1"/>
        <v>1814</v>
      </c>
      <c r="H19">
        <f t="shared" si="2"/>
        <v>3390</v>
      </c>
      <c r="I19">
        <f t="shared" si="3"/>
        <v>5921</v>
      </c>
    </row>
    <row r="20" spans="1:9" x14ac:dyDescent="0.25">
      <c r="A20" s="7">
        <v>19</v>
      </c>
      <c r="B20">
        <f>ROUND( $N$3*POWER(A20-1,$N$4), 0)</f>
        <v>10196</v>
      </c>
      <c r="C20">
        <f>ROUND($O$3*POWER(A20 -1,$O$4), 0)</f>
        <v>20420</v>
      </c>
      <c r="D20">
        <f>ROUND($P$3 * POWER(A20 - 1, $P$4), 0)</f>
        <v>36351</v>
      </c>
      <c r="E20">
        <f>ROUND($Q$3 * POWER(A20 - 1, $Q$4), 0)</f>
        <v>60668</v>
      </c>
      <c r="F20">
        <f t="shared" si="0"/>
        <v>891</v>
      </c>
      <c r="G20">
        <f t="shared" si="1"/>
        <v>1891</v>
      </c>
      <c r="H20">
        <f t="shared" si="2"/>
        <v>3554</v>
      </c>
      <c r="I20">
        <f t="shared" si="3"/>
        <v>6244</v>
      </c>
    </row>
    <row r="21" spans="1:9" x14ac:dyDescent="0.25">
      <c r="A21" s="8">
        <v>20</v>
      </c>
      <c r="B21">
        <f>ROUND( $N$3*POWER(A21-1,$N$4), 0)</f>
        <v>11117</v>
      </c>
      <c r="C21">
        <f>ROUND($O$3*POWER(A21 -1,$O$4), 0)</f>
        <v>22386</v>
      </c>
      <c r="D21">
        <f>ROUND($P$3 * POWER(A21 - 1, $P$4), 0)</f>
        <v>40067</v>
      </c>
      <c r="E21">
        <f>ROUND($Q$3 * POWER(A21 - 1, $Q$4), 0)</f>
        <v>67231</v>
      </c>
      <c r="F21">
        <f t="shared" si="0"/>
        <v>921</v>
      </c>
      <c r="G21">
        <f t="shared" si="1"/>
        <v>1966</v>
      </c>
      <c r="H21">
        <f t="shared" si="2"/>
        <v>3716</v>
      </c>
      <c r="I21">
        <f t="shared" si="3"/>
        <v>6563</v>
      </c>
    </row>
    <row r="22" spans="1:9" x14ac:dyDescent="0.25">
      <c r="A22" s="7">
        <v>21</v>
      </c>
      <c r="B22">
        <f>ROUND( $N$3*POWER(A22-1,$N$4), 0)</f>
        <v>12068</v>
      </c>
      <c r="C22">
        <f>ROUND($O$3*POWER(A22 -1,$O$4), 0)</f>
        <v>24425</v>
      </c>
      <c r="D22">
        <f>ROUND($P$3 * POWER(A22 - 1, $P$4), 0)</f>
        <v>43942</v>
      </c>
      <c r="E22">
        <f>ROUND($Q$3 * POWER(A22 - 1, $Q$4), 0)</f>
        <v>74113</v>
      </c>
      <c r="F22">
        <f t="shared" si="0"/>
        <v>951</v>
      </c>
      <c r="G22">
        <f t="shared" si="1"/>
        <v>2039</v>
      </c>
      <c r="H22">
        <f t="shared" si="2"/>
        <v>3875</v>
      </c>
      <c r="I22">
        <f t="shared" si="3"/>
        <v>6882</v>
      </c>
    </row>
    <row r="23" spans="1:9" x14ac:dyDescent="0.25">
      <c r="A23" s="8">
        <v>22</v>
      </c>
      <c r="B23">
        <f>ROUND( $N$3*POWER(A23-1,$N$4), 0)</f>
        <v>13048</v>
      </c>
      <c r="C23">
        <f>ROUND($O$3*POWER(A23 -1,$O$4), 0)</f>
        <v>26538</v>
      </c>
      <c r="D23">
        <f>ROUND($P$3 * POWER(A23 - 1, $P$4), 0)</f>
        <v>47976</v>
      </c>
      <c r="E23">
        <f>ROUND($Q$3 * POWER(A23 - 1, $Q$4), 0)</f>
        <v>81312</v>
      </c>
      <c r="F23">
        <f t="shared" si="0"/>
        <v>980</v>
      </c>
      <c r="G23">
        <f t="shared" si="1"/>
        <v>2113</v>
      </c>
      <c r="H23">
        <f t="shared" si="2"/>
        <v>4034</v>
      </c>
      <c r="I23">
        <f t="shared" si="3"/>
        <v>7199</v>
      </c>
    </row>
    <row r="24" spans="1:9" x14ac:dyDescent="0.25">
      <c r="A24" s="7">
        <v>23</v>
      </c>
      <c r="B24">
        <f>ROUND( $N$3*POWER(A24-1,$N$4), 0)</f>
        <v>14056</v>
      </c>
      <c r="C24">
        <f>ROUND($O$3*POWER(A24 -1,$O$4), 0)</f>
        <v>28722</v>
      </c>
      <c r="D24">
        <f>ROUND($P$3 * POWER(A24 - 1, $P$4), 0)</f>
        <v>52166</v>
      </c>
      <c r="E24">
        <f>ROUND($Q$3 * POWER(A24 - 1, $Q$4), 0)</f>
        <v>88827</v>
      </c>
      <c r="F24">
        <f t="shared" si="0"/>
        <v>1008</v>
      </c>
      <c r="G24">
        <f t="shared" si="1"/>
        <v>2184</v>
      </c>
      <c r="H24">
        <f t="shared" si="2"/>
        <v>4190</v>
      </c>
      <c r="I24">
        <f t="shared" si="3"/>
        <v>7515</v>
      </c>
    </row>
    <row r="25" spans="1:9" x14ac:dyDescent="0.25">
      <c r="A25" s="8">
        <v>24</v>
      </c>
      <c r="B25">
        <f>ROUND( $N$3*POWER(A25-1,$N$4), 0)</f>
        <v>15093</v>
      </c>
      <c r="C25">
        <f>ROUND($O$3*POWER(A25 -1,$O$4), 0)</f>
        <v>30976</v>
      </c>
      <c r="D25">
        <f>ROUND($P$3 * POWER(A25 - 1, $P$4), 0)</f>
        <v>56512</v>
      </c>
      <c r="E25">
        <f>ROUND($Q$3 * POWER(A25 - 1, $Q$4), 0)</f>
        <v>96655</v>
      </c>
      <c r="F25">
        <f t="shared" si="0"/>
        <v>1037</v>
      </c>
      <c r="G25">
        <f t="shared" si="1"/>
        <v>2254</v>
      </c>
      <c r="H25">
        <f t="shared" si="2"/>
        <v>4346</v>
      </c>
      <c r="I25">
        <f t="shared" si="3"/>
        <v>7828</v>
      </c>
    </row>
    <row r="26" spans="1:9" x14ac:dyDescent="0.25">
      <c r="A26" s="7">
        <v>25</v>
      </c>
      <c r="B26">
        <f>ROUND( $N$3*POWER(A26-1,$N$4), 0)</f>
        <v>16156</v>
      </c>
      <c r="C26">
        <f>ROUND($O$3*POWER(A26 -1,$O$4), 0)</f>
        <v>33300</v>
      </c>
      <c r="D26">
        <f>ROUND($P$3 * POWER(A26 - 1, $P$4), 0)</f>
        <v>61011</v>
      </c>
      <c r="E26">
        <f>ROUND($Q$3 * POWER(A26 - 1, $Q$4), 0)</f>
        <v>104795</v>
      </c>
      <c r="F26">
        <f t="shared" si="0"/>
        <v>1063</v>
      </c>
      <c r="G26">
        <f t="shared" si="1"/>
        <v>2324</v>
      </c>
      <c r="H26">
        <f t="shared" si="2"/>
        <v>4499</v>
      </c>
      <c r="I26">
        <f t="shared" si="3"/>
        <v>8140</v>
      </c>
    </row>
    <row r="27" spans="1:9" x14ac:dyDescent="0.25">
      <c r="A27" s="8">
        <v>26</v>
      </c>
      <c r="B27">
        <f>ROUND( $N$3*POWER(A27-1,$N$4), 0)</f>
        <v>17247</v>
      </c>
      <c r="C27">
        <f>ROUND($O$3*POWER(A27 -1,$O$4), 0)</f>
        <v>35694</v>
      </c>
      <c r="D27">
        <f>ROUND($P$3 * POWER(A27 - 1, $P$4), 0)</f>
        <v>65663</v>
      </c>
      <c r="E27">
        <f>ROUND($Q$3 * POWER(A27 - 1, $Q$4), 0)</f>
        <v>113247</v>
      </c>
      <c r="F27">
        <f t="shared" si="0"/>
        <v>1091</v>
      </c>
      <c r="G27">
        <f t="shared" si="1"/>
        <v>2394</v>
      </c>
      <c r="H27">
        <f t="shared" si="2"/>
        <v>4652</v>
      </c>
      <c r="I27">
        <f t="shared" si="3"/>
        <v>8452</v>
      </c>
    </row>
    <row r="28" spans="1:9" x14ac:dyDescent="0.25">
      <c r="A28" s="7">
        <v>27</v>
      </c>
      <c r="B28">
        <f>ROUND( $N$3*POWER(A28-1,$N$4), 0)</f>
        <v>18364</v>
      </c>
      <c r="C28">
        <f>ROUND($O$3*POWER(A28 -1,$O$4), 0)</f>
        <v>38155</v>
      </c>
      <c r="D28">
        <f>ROUND($P$3 * POWER(A28 - 1, $P$4), 0)</f>
        <v>70466</v>
      </c>
      <c r="E28">
        <f>ROUND($Q$3 * POWER(A28 - 1, $Q$4), 0)</f>
        <v>122008</v>
      </c>
      <c r="F28">
        <f t="shared" si="0"/>
        <v>1117</v>
      </c>
      <c r="G28">
        <f t="shared" si="1"/>
        <v>2461</v>
      </c>
      <c r="H28">
        <f t="shared" si="2"/>
        <v>4803</v>
      </c>
      <c r="I28">
        <f t="shared" si="3"/>
        <v>8761</v>
      </c>
    </row>
    <row r="29" spans="1:9" x14ac:dyDescent="0.25">
      <c r="A29" s="8">
        <v>28</v>
      </c>
      <c r="B29">
        <f>ROUND( $N$3*POWER(A29-1,$N$4), 0)</f>
        <v>19507</v>
      </c>
      <c r="C29">
        <f>ROUND($O$3*POWER(A29 -1,$O$4), 0)</f>
        <v>40683</v>
      </c>
      <c r="D29">
        <f>ROUND($P$3 * POWER(A29 - 1, $P$4), 0)</f>
        <v>75420</v>
      </c>
      <c r="E29">
        <f>ROUND($Q$3 * POWER(A29 - 1, $Q$4), 0)</f>
        <v>131078</v>
      </c>
      <c r="F29">
        <f t="shared" si="0"/>
        <v>1143</v>
      </c>
      <c r="G29">
        <f t="shared" si="1"/>
        <v>2528</v>
      </c>
      <c r="H29">
        <f t="shared" si="2"/>
        <v>4954</v>
      </c>
      <c r="I29">
        <f t="shared" si="3"/>
        <v>9070</v>
      </c>
    </row>
    <row r="30" spans="1:9" x14ac:dyDescent="0.25">
      <c r="A30" s="7">
        <v>29</v>
      </c>
      <c r="B30">
        <f>ROUND( $N$3*POWER(A30-1,$N$4), 0)</f>
        <v>20675</v>
      </c>
      <c r="C30">
        <f>ROUND($O$3*POWER(A30 -1,$O$4), 0)</f>
        <v>43277</v>
      </c>
      <c r="D30">
        <f>ROUND($P$3 * POWER(A30 - 1, $P$4), 0)</f>
        <v>80522</v>
      </c>
      <c r="E30">
        <f>ROUND($Q$3 * POWER(A30 - 1, $Q$4), 0)</f>
        <v>140456</v>
      </c>
      <c r="F30">
        <f t="shared" si="0"/>
        <v>1168</v>
      </c>
      <c r="G30">
        <f t="shared" si="1"/>
        <v>2594</v>
      </c>
      <c r="H30">
        <f t="shared" si="2"/>
        <v>5102</v>
      </c>
      <c r="I30">
        <f t="shared" si="3"/>
        <v>9378</v>
      </c>
    </row>
    <row r="31" spans="1:9" x14ac:dyDescent="0.25">
      <c r="A31" s="8">
        <v>30</v>
      </c>
      <c r="B31">
        <f>ROUND( $N$3*POWER(A31-1,$N$4), 0)</f>
        <v>21869</v>
      </c>
      <c r="C31">
        <f>ROUND($O$3*POWER(A31 -1,$O$4), 0)</f>
        <v>45938</v>
      </c>
      <c r="D31">
        <f>ROUND($P$3 * POWER(A31 - 1, $P$4), 0)</f>
        <v>85772</v>
      </c>
      <c r="E31">
        <f>ROUND($Q$3 * POWER(A31 - 1, $Q$4), 0)</f>
        <v>150140</v>
      </c>
      <c r="F31">
        <f t="shared" si="0"/>
        <v>1194</v>
      </c>
      <c r="G31">
        <f t="shared" si="1"/>
        <v>2661</v>
      </c>
      <c r="H31">
        <f t="shared" si="2"/>
        <v>5250</v>
      </c>
      <c r="I31">
        <f t="shared" si="3"/>
        <v>9684</v>
      </c>
    </row>
    <row r="32" spans="1:9" x14ac:dyDescent="0.25">
      <c r="A32" s="7">
        <v>31</v>
      </c>
      <c r="B32">
        <f>ROUND( $N$3*POWER(A32-1,$N$4), 0)</f>
        <v>23088</v>
      </c>
      <c r="C32">
        <f>ROUND($O$3*POWER(A32 -1,$O$4), 0)</f>
        <v>48663</v>
      </c>
      <c r="D32">
        <f>ROUND($P$3 * POWER(A32 - 1, $P$4), 0)</f>
        <v>91169</v>
      </c>
      <c r="E32">
        <f>ROUND($Q$3 * POWER(A32 - 1, $Q$4), 0)</f>
        <v>160129</v>
      </c>
      <c r="F32">
        <f t="shared" si="0"/>
        <v>1219</v>
      </c>
      <c r="G32">
        <f t="shared" si="1"/>
        <v>2725</v>
      </c>
      <c r="H32">
        <f t="shared" si="2"/>
        <v>5397</v>
      </c>
      <c r="I32">
        <f t="shared" si="3"/>
        <v>9989</v>
      </c>
    </row>
    <row r="33" spans="1:9" x14ac:dyDescent="0.25">
      <c r="A33" s="8">
        <v>32</v>
      </c>
      <c r="B33">
        <f>ROUND( $N$3*POWER(A33-1,$N$4), 0)</f>
        <v>24332</v>
      </c>
      <c r="C33">
        <f>ROUND($O$3*POWER(A33 -1,$O$4), 0)</f>
        <v>51452</v>
      </c>
      <c r="D33">
        <f>ROUND($P$3 * POWER(A33 - 1, $P$4), 0)</f>
        <v>96712</v>
      </c>
      <c r="E33">
        <f>ROUND($Q$3 * POWER(A33 - 1, $Q$4), 0)</f>
        <v>170423</v>
      </c>
      <c r="F33">
        <f t="shared" si="0"/>
        <v>1244</v>
      </c>
      <c r="G33">
        <f t="shared" si="1"/>
        <v>2789</v>
      </c>
      <c r="H33">
        <f t="shared" si="2"/>
        <v>5543</v>
      </c>
      <c r="I33">
        <f t="shared" si="3"/>
        <v>10294</v>
      </c>
    </row>
    <row r="34" spans="1:9" x14ac:dyDescent="0.25">
      <c r="A34" s="7">
        <v>33</v>
      </c>
      <c r="B34">
        <f>ROUND( $N$3*POWER(A34-1,$N$4), 0)</f>
        <v>25600</v>
      </c>
      <c r="C34">
        <f>ROUND($O$3*POWER(A34 -1,$O$4), 0)</f>
        <v>54306</v>
      </c>
      <c r="D34">
        <f>ROUND($P$3 * POWER(A34 - 1, $P$4), 0)</f>
        <v>102400</v>
      </c>
      <c r="E34">
        <f>ROUND($Q$3 * POWER(A34 - 1, $Q$4), 0)</f>
        <v>181019</v>
      </c>
      <c r="F34">
        <f t="shared" si="0"/>
        <v>1268</v>
      </c>
      <c r="G34">
        <f t="shared" si="1"/>
        <v>2854</v>
      </c>
      <c r="H34">
        <f t="shared" si="2"/>
        <v>5688</v>
      </c>
      <c r="I34">
        <f t="shared" si="3"/>
        <v>10596</v>
      </c>
    </row>
    <row r="35" spans="1:9" x14ac:dyDescent="0.25">
      <c r="A35" s="8">
        <v>34</v>
      </c>
      <c r="B35">
        <f>ROUND( $N$3*POWER(A35-1,$N$4), 0)</f>
        <v>26892</v>
      </c>
      <c r="C35">
        <f>ROUND($O$3*POWER(A35 -1,$O$4), 0)</f>
        <v>57222</v>
      </c>
      <c r="D35">
        <f>ROUND($P$3 * POWER(A35 - 1, $P$4), 0)</f>
        <v>108232</v>
      </c>
      <c r="E35">
        <f>ROUND($Q$3 * POWER(A35 - 1, $Q$4), 0)</f>
        <v>191918</v>
      </c>
      <c r="F35">
        <f t="shared" si="0"/>
        <v>1292</v>
      </c>
      <c r="G35">
        <f t="shared" si="1"/>
        <v>2916</v>
      </c>
      <c r="H35">
        <f t="shared" si="2"/>
        <v>5832</v>
      </c>
      <c r="I35">
        <f t="shared" si="3"/>
        <v>10899</v>
      </c>
    </row>
    <row r="36" spans="1:9" x14ac:dyDescent="0.25">
      <c r="A36" s="7">
        <v>35</v>
      </c>
      <c r="B36">
        <f>ROUND( $N$3*POWER(A36-1,$N$4), 0)</f>
        <v>28208</v>
      </c>
      <c r="C36">
        <f>ROUND($O$3*POWER(A36 -1,$O$4), 0)</f>
        <v>60201</v>
      </c>
      <c r="D36">
        <f>ROUND($P$3 * POWER(A36 - 1, $P$4), 0)</f>
        <v>114207</v>
      </c>
      <c r="E36">
        <f>ROUND($Q$3 * POWER(A36 - 1, $Q$4), 0)</f>
        <v>203119</v>
      </c>
      <c r="F36">
        <f t="shared" si="0"/>
        <v>1316</v>
      </c>
      <c r="G36">
        <f t="shared" si="1"/>
        <v>2979</v>
      </c>
      <c r="H36">
        <f t="shared" si="2"/>
        <v>5975</v>
      </c>
      <c r="I36">
        <f t="shared" si="3"/>
        <v>11201</v>
      </c>
    </row>
    <row r="37" spans="1:9" x14ac:dyDescent="0.25">
      <c r="A37" s="8">
        <v>36</v>
      </c>
      <c r="B37">
        <f>ROUND( $N$3*POWER(A37-1,$N$4), 0)</f>
        <v>29547</v>
      </c>
      <c r="C37">
        <f>ROUND($O$3*POWER(A37 -1,$O$4), 0)</f>
        <v>63242</v>
      </c>
      <c r="D37">
        <f>ROUND($P$3 * POWER(A37 - 1, $P$4), 0)</f>
        <v>120324</v>
      </c>
      <c r="E37">
        <f>ROUND($Q$3 * POWER(A37 - 1, $Q$4), 0)</f>
        <v>214620</v>
      </c>
      <c r="F37">
        <f t="shared" si="0"/>
        <v>1339</v>
      </c>
      <c r="G37">
        <f t="shared" si="1"/>
        <v>3041</v>
      </c>
      <c r="H37">
        <f t="shared" si="2"/>
        <v>6117</v>
      </c>
      <c r="I37">
        <f t="shared" si="3"/>
        <v>11501</v>
      </c>
    </row>
    <row r="38" spans="1:9" x14ac:dyDescent="0.25">
      <c r="A38" s="7">
        <v>37</v>
      </c>
      <c r="B38">
        <f>ROUND( $N$3*POWER(A38-1,$N$4), 0)</f>
        <v>30909</v>
      </c>
      <c r="C38">
        <f>ROUND($O$3*POWER(A38 -1,$O$4), 0)</f>
        <v>66345</v>
      </c>
      <c r="D38">
        <f>ROUND($P$3 * POWER(A38 - 1, $P$4), 0)</f>
        <v>126583</v>
      </c>
      <c r="E38">
        <f>ROUND($Q$3 * POWER(A38 - 1, $Q$4), 0)</f>
        <v>226420</v>
      </c>
      <c r="F38">
        <f t="shared" si="0"/>
        <v>1362</v>
      </c>
      <c r="G38">
        <f t="shared" si="1"/>
        <v>3103</v>
      </c>
      <c r="H38">
        <f t="shared" si="2"/>
        <v>6259</v>
      </c>
      <c r="I38">
        <f t="shared" si="3"/>
        <v>11800</v>
      </c>
    </row>
    <row r="39" spans="1:9" x14ac:dyDescent="0.25">
      <c r="A39" s="8">
        <v>38</v>
      </c>
      <c r="B39">
        <f>ROUND( $N$3*POWER(A39-1,$N$4), 0)</f>
        <v>32294</v>
      </c>
      <c r="C39">
        <f>ROUND($O$3*POWER(A39 -1,$O$4), 0)</f>
        <v>69508</v>
      </c>
      <c r="D39">
        <f>ROUND($P$3 * POWER(A39 - 1, $P$4), 0)</f>
        <v>132982</v>
      </c>
      <c r="E39">
        <f>ROUND($Q$3 * POWER(A39 - 1, $Q$4), 0)</f>
        <v>238519</v>
      </c>
      <c r="F39">
        <f t="shared" si="0"/>
        <v>1385</v>
      </c>
      <c r="G39">
        <f t="shared" si="1"/>
        <v>3163</v>
      </c>
      <c r="H39">
        <f t="shared" si="2"/>
        <v>6399</v>
      </c>
      <c r="I39">
        <f t="shared" si="3"/>
        <v>12099</v>
      </c>
    </row>
    <row r="40" spans="1:9" x14ac:dyDescent="0.25">
      <c r="A40" s="7">
        <v>39</v>
      </c>
      <c r="B40">
        <f>ROUND( $N$3*POWER(A40-1,$N$4), 0)</f>
        <v>33702</v>
      </c>
      <c r="C40">
        <f>ROUND($O$3*POWER(A40 -1,$O$4), 0)</f>
        <v>72732</v>
      </c>
      <c r="D40">
        <f>ROUND($P$3 * POWER(A40 - 1, $P$4), 0)</f>
        <v>139521</v>
      </c>
      <c r="E40">
        <f>ROUND($Q$3 * POWER(A40 - 1, $Q$4), 0)</f>
        <v>250916</v>
      </c>
      <c r="F40">
        <f t="shared" si="0"/>
        <v>1408</v>
      </c>
      <c r="G40">
        <f t="shared" si="1"/>
        <v>3224</v>
      </c>
      <c r="H40">
        <f t="shared" si="2"/>
        <v>6539</v>
      </c>
      <c r="I40">
        <f t="shared" si="3"/>
        <v>12397</v>
      </c>
    </row>
    <row r="41" spans="1:9" x14ac:dyDescent="0.25">
      <c r="A41" s="8">
        <v>40</v>
      </c>
      <c r="B41">
        <f>ROUND( $N$3*POWER(A41-1,$N$4), 0)</f>
        <v>35132</v>
      </c>
      <c r="C41">
        <f>ROUND($O$3*POWER(A41 -1,$O$4), 0)</f>
        <v>76015</v>
      </c>
      <c r="D41">
        <f>ROUND($P$3 * POWER(A41 - 1, $P$4), 0)</f>
        <v>146200</v>
      </c>
      <c r="E41">
        <f>ROUND($Q$3 * POWER(A41 - 1, $Q$4), 0)</f>
        <v>263611</v>
      </c>
      <c r="F41">
        <f t="shared" si="0"/>
        <v>1430</v>
      </c>
      <c r="G41">
        <f t="shared" si="1"/>
        <v>3283</v>
      </c>
      <c r="H41">
        <f t="shared" si="2"/>
        <v>6679</v>
      </c>
      <c r="I41">
        <f t="shared" si="3"/>
        <v>12695</v>
      </c>
    </row>
    <row r="42" spans="1:9" x14ac:dyDescent="0.25">
      <c r="A42" s="7">
        <v>41</v>
      </c>
      <c r="B42">
        <f>ROUND( $N$3*POWER(A42-1,$N$4), 0)</f>
        <v>36584</v>
      </c>
      <c r="C42">
        <f>ROUND($O$3*POWER(A42 -1,$O$4), 0)</f>
        <v>79358</v>
      </c>
      <c r="D42">
        <f>ROUND($P$3 * POWER(A42 - 1, $P$4), 0)</f>
        <v>153016</v>
      </c>
      <c r="E42">
        <f>ROUND($Q$3 * POWER(A42 - 1, $Q$4), 0)</f>
        <v>276601</v>
      </c>
      <c r="F42">
        <f t="shared" si="0"/>
        <v>1452</v>
      </c>
      <c r="G42">
        <f t="shared" si="1"/>
        <v>3343</v>
      </c>
      <c r="H42">
        <f t="shared" si="2"/>
        <v>6816</v>
      </c>
      <c r="I42">
        <f t="shared" si="3"/>
        <v>12990</v>
      </c>
    </row>
    <row r="43" spans="1:9" x14ac:dyDescent="0.25">
      <c r="A43" s="8">
        <v>42</v>
      </c>
      <c r="B43">
        <f>ROUND( $N$3*POWER(A43-1,$N$4), 0)</f>
        <v>38059</v>
      </c>
      <c r="C43">
        <f>ROUND($O$3*POWER(A43 -1,$O$4), 0)</f>
        <v>82761</v>
      </c>
      <c r="D43">
        <f>ROUND($P$3 * POWER(A43 - 1, $P$4), 0)</f>
        <v>159971</v>
      </c>
      <c r="E43">
        <f>ROUND($Q$3 * POWER(A43 - 1, $Q$4), 0)</f>
        <v>289887</v>
      </c>
      <c r="F43">
        <f t="shared" si="0"/>
        <v>1475</v>
      </c>
      <c r="G43">
        <f t="shared" si="1"/>
        <v>3403</v>
      </c>
      <c r="H43">
        <f t="shared" si="2"/>
        <v>6955</v>
      </c>
      <c r="I43">
        <f t="shared" si="3"/>
        <v>13286</v>
      </c>
    </row>
    <row r="44" spans="1:9" x14ac:dyDescent="0.25">
      <c r="A44" s="7">
        <v>43</v>
      </c>
      <c r="B44">
        <f>ROUND( $N$3*POWER(A44-1,$N$4), 0)</f>
        <v>39555</v>
      </c>
      <c r="C44">
        <f>ROUND($O$3*POWER(A44 -1,$O$4), 0)</f>
        <v>86221</v>
      </c>
      <c r="D44">
        <f>ROUND($P$3 * POWER(A44 - 1, $P$4), 0)</f>
        <v>167062</v>
      </c>
      <c r="E44">
        <f>ROUND($Q$3 * POWER(A44 - 1, $Q$4), 0)</f>
        <v>303469</v>
      </c>
      <c r="F44">
        <f t="shared" si="0"/>
        <v>1496</v>
      </c>
      <c r="G44">
        <f t="shared" si="1"/>
        <v>3460</v>
      </c>
      <c r="H44">
        <f t="shared" si="2"/>
        <v>7091</v>
      </c>
      <c r="I44">
        <f t="shared" si="3"/>
        <v>13582</v>
      </c>
    </row>
    <row r="45" spans="1:9" x14ac:dyDescent="0.25">
      <c r="A45" s="8">
        <v>44</v>
      </c>
      <c r="B45">
        <f>ROUND( $N$3*POWER(A45-1,$N$4), 0)</f>
        <v>41072</v>
      </c>
      <c r="C45">
        <f>ROUND($O$3*POWER(A45 -1,$O$4), 0)</f>
        <v>89740</v>
      </c>
      <c r="D45">
        <f>ROUND($P$3 * POWER(A45 - 1, $P$4), 0)</f>
        <v>174290</v>
      </c>
      <c r="E45">
        <f>ROUND($Q$3 * POWER(A45 - 1, $Q$4), 0)</f>
        <v>317344</v>
      </c>
      <c r="F45">
        <f t="shared" si="0"/>
        <v>1517</v>
      </c>
      <c r="G45">
        <f t="shared" si="1"/>
        <v>3519</v>
      </c>
      <c r="H45">
        <f t="shared" si="2"/>
        <v>7228</v>
      </c>
      <c r="I45">
        <f t="shared" si="3"/>
        <v>13875</v>
      </c>
    </row>
    <row r="46" spans="1:9" x14ac:dyDescent="0.25">
      <c r="A46" s="7">
        <v>45</v>
      </c>
      <c r="B46">
        <f>ROUND( $N$3*POWER(A46-1,$N$4), 0)</f>
        <v>42611</v>
      </c>
      <c r="C46">
        <f>ROUND($O$3*POWER(A46 -1,$O$4), 0)</f>
        <v>93317</v>
      </c>
      <c r="D46">
        <f>ROUND($P$3 * POWER(A46 - 1, $P$4), 0)</f>
        <v>181654</v>
      </c>
      <c r="E46">
        <f>ROUND($Q$3 * POWER(A46 - 1, $Q$4), 0)</f>
        <v>331513</v>
      </c>
      <c r="F46">
        <f t="shared" si="0"/>
        <v>1539</v>
      </c>
      <c r="G46">
        <f t="shared" si="1"/>
        <v>3577</v>
      </c>
      <c r="H46">
        <f t="shared" si="2"/>
        <v>7364</v>
      </c>
      <c r="I46">
        <f t="shared" si="3"/>
        <v>14169</v>
      </c>
    </row>
    <row r="47" spans="1:9" x14ac:dyDescent="0.25">
      <c r="A47" s="8">
        <v>46</v>
      </c>
      <c r="B47">
        <f>ROUND( $N$3*POWER(A47-1,$N$4), 0)</f>
        <v>44171</v>
      </c>
      <c r="C47">
        <f>ROUND($O$3*POWER(A47 -1,$O$4), 0)</f>
        <v>96951</v>
      </c>
      <c r="D47">
        <f>ROUND($P$3 * POWER(A47 - 1, $P$4), 0)</f>
        <v>189153</v>
      </c>
      <c r="E47">
        <f>ROUND($Q$3 * POWER(A47 - 1, $Q$4), 0)</f>
        <v>345974</v>
      </c>
      <c r="F47">
        <f t="shared" si="0"/>
        <v>1560</v>
      </c>
      <c r="G47">
        <f t="shared" si="1"/>
        <v>3634</v>
      </c>
      <c r="H47">
        <f t="shared" si="2"/>
        <v>7499</v>
      </c>
      <c r="I47">
        <f t="shared" si="3"/>
        <v>14461</v>
      </c>
    </row>
    <row r="48" spans="1:9" x14ac:dyDescent="0.25">
      <c r="A48" s="7">
        <v>47</v>
      </c>
      <c r="B48">
        <f>ROUND( $N$3*POWER(A48-1,$N$4), 0)</f>
        <v>45752</v>
      </c>
      <c r="C48">
        <f>ROUND($O$3*POWER(A48 -1,$O$4), 0)</f>
        <v>100642</v>
      </c>
      <c r="D48">
        <f>ROUND($P$3 * POWER(A48 - 1, $P$4), 0)</f>
        <v>196786</v>
      </c>
      <c r="E48">
        <f>ROUND($Q$3 * POWER(A48 - 1, $Q$4), 0)</f>
        <v>360728</v>
      </c>
      <c r="F48">
        <f t="shared" si="0"/>
        <v>1581</v>
      </c>
      <c r="G48">
        <f t="shared" si="1"/>
        <v>3691</v>
      </c>
      <c r="H48">
        <f t="shared" si="2"/>
        <v>7633</v>
      </c>
      <c r="I48">
        <f t="shared" si="3"/>
        <v>14754</v>
      </c>
    </row>
    <row r="49" spans="1:9" x14ac:dyDescent="0.25">
      <c r="A49" s="8">
        <v>48</v>
      </c>
      <c r="B49">
        <f>ROUND( $N$3*POWER(A49-1,$N$4), 0)</f>
        <v>47354</v>
      </c>
      <c r="C49">
        <f>ROUND($O$3*POWER(A49 -1,$O$4), 0)</f>
        <v>104390</v>
      </c>
      <c r="D49">
        <f>ROUND($P$3 * POWER(A49 - 1, $P$4), 0)</f>
        <v>204553</v>
      </c>
      <c r="E49">
        <f>ROUND($Q$3 * POWER(A49 - 1, $Q$4), 0)</f>
        <v>375773</v>
      </c>
      <c r="F49">
        <f t="shared" si="0"/>
        <v>1602</v>
      </c>
      <c r="G49">
        <f t="shared" si="1"/>
        <v>3748</v>
      </c>
      <c r="H49">
        <f t="shared" si="2"/>
        <v>7767</v>
      </c>
      <c r="I49">
        <f t="shared" si="3"/>
        <v>15045</v>
      </c>
    </row>
    <row r="50" spans="1:9" x14ac:dyDescent="0.25">
      <c r="A50" s="7">
        <v>49</v>
      </c>
      <c r="B50">
        <f>ROUND( $N$3*POWER(A50-1,$N$4), 0)</f>
        <v>48976</v>
      </c>
      <c r="C50">
        <f>ROUND($O$3*POWER(A50 -1,$O$4), 0)</f>
        <v>108194</v>
      </c>
      <c r="D50">
        <f>ROUND($P$3 * POWER(A50 - 1, $P$4), 0)</f>
        <v>212454</v>
      </c>
      <c r="E50">
        <f>ROUND($Q$3 * POWER(A50 - 1, $Q$4), 0)</f>
        <v>391109</v>
      </c>
      <c r="F50">
        <f t="shared" si="0"/>
        <v>1622</v>
      </c>
      <c r="G50">
        <f t="shared" si="1"/>
        <v>3804</v>
      </c>
      <c r="H50">
        <f t="shared" si="2"/>
        <v>7901</v>
      </c>
      <c r="I50">
        <f t="shared" si="3"/>
        <v>15336</v>
      </c>
    </row>
    <row r="51" spans="1:9" x14ac:dyDescent="0.25">
      <c r="A51" s="8">
        <v>50</v>
      </c>
      <c r="B51">
        <f>ROUND( $N$3*POWER(A51-1,$N$4), 0)</f>
        <v>50619</v>
      </c>
      <c r="C51">
        <f>ROUND($O$3*POWER(A51 -1,$O$4), 0)</f>
        <v>112053</v>
      </c>
      <c r="D51">
        <f>ROUND($P$3 * POWER(A51 - 1, $P$4), 0)</f>
        <v>220487</v>
      </c>
      <c r="E51">
        <f>ROUND($Q$3 * POWER(A51 - 1, $Q$4), 0)</f>
        <v>406736</v>
      </c>
      <c r="F51">
        <f t="shared" si="0"/>
        <v>1643</v>
      </c>
      <c r="G51">
        <f t="shared" si="1"/>
        <v>3859</v>
      </c>
      <c r="H51">
        <f t="shared" si="2"/>
        <v>8033</v>
      </c>
      <c r="I51">
        <f t="shared" si="3"/>
        <v>15627</v>
      </c>
    </row>
    <row r="52" spans="1:9" x14ac:dyDescent="0.25">
      <c r="A52" s="7">
        <v>51</v>
      </c>
      <c r="B52">
        <f>ROUND( $N$3*POWER(A52-1,$N$4), 0)</f>
        <v>52282</v>
      </c>
      <c r="C52">
        <f>ROUND($O$3*POWER(A52 -1,$O$4), 0)</f>
        <v>115969</v>
      </c>
      <c r="D52">
        <f>ROUND($P$3 * POWER(A52 - 1, $P$4), 0)</f>
        <v>228653</v>
      </c>
      <c r="E52">
        <f>ROUND($Q$3 * POWER(A52 - 1, $Q$4), 0)</f>
        <v>422652</v>
      </c>
      <c r="F52">
        <f t="shared" si="0"/>
        <v>1663</v>
      </c>
      <c r="G52">
        <f t="shared" si="1"/>
        <v>3916</v>
      </c>
      <c r="H52">
        <f t="shared" si="2"/>
        <v>8166</v>
      </c>
      <c r="I52">
        <f t="shared" si="3"/>
        <v>15916</v>
      </c>
    </row>
    <row r="53" spans="1:9" x14ac:dyDescent="0.25">
      <c r="A53" s="8">
        <v>52</v>
      </c>
      <c r="B53">
        <f>ROUND( $N$3*POWER(A53-1,$N$4), 0)</f>
        <v>53965</v>
      </c>
      <c r="C53">
        <f>ROUND($O$3*POWER(A53 -1,$O$4), 0)</f>
        <v>119939</v>
      </c>
      <c r="D53">
        <f>ROUND($P$3 * POWER(A53 - 1, $P$4), 0)</f>
        <v>236950</v>
      </c>
      <c r="E53">
        <f>ROUND($Q$3 * POWER(A53 - 1, $Q$4), 0)</f>
        <v>438857</v>
      </c>
      <c r="F53">
        <f t="shared" si="0"/>
        <v>1683</v>
      </c>
      <c r="G53">
        <f t="shared" si="1"/>
        <v>3970</v>
      </c>
      <c r="H53">
        <f t="shared" si="2"/>
        <v>8297</v>
      </c>
      <c r="I53">
        <f t="shared" si="3"/>
        <v>16205</v>
      </c>
    </row>
    <row r="54" spans="1:9" x14ac:dyDescent="0.25">
      <c r="A54" s="7">
        <v>53</v>
      </c>
      <c r="B54">
        <f>ROUND( $N$3*POWER(A54-1,$N$4), 0)</f>
        <v>55668</v>
      </c>
      <c r="C54">
        <f>ROUND($O$3*POWER(A54 -1,$O$4), 0)</f>
        <v>123964</v>
      </c>
      <c r="D54">
        <f>ROUND($P$3 * POWER(A54 - 1, $P$4), 0)</f>
        <v>245378</v>
      </c>
      <c r="E54">
        <f>ROUND($Q$3 * POWER(A54 - 1, $Q$4), 0)</f>
        <v>455351</v>
      </c>
      <c r="F54">
        <f t="shared" si="0"/>
        <v>1703</v>
      </c>
      <c r="G54">
        <f t="shared" si="1"/>
        <v>4025</v>
      </c>
      <c r="H54">
        <f t="shared" si="2"/>
        <v>8428</v>
      </c>
      <c r="I54">
        <f t="shared" si="3"/>
        <v>16494</v>
      </c>
    </row>
    <row r="55" spans="1:9" x14ac:dyDescent="0.25">
      <c r="A55" s="8">
        <v>54</v>
      </c>
      <c r="B55">
        <f>ROUND( $N$3*POWER(A55-1,$N$4), 0)</f>
        <v>57391</v>
      </c>
      <c r="C55">
        <f>ROUND($O$3*POWER(A55 -1,$O$4), 0)</f>
        <v>128044</v>
      </c>
      <c r="D55">
        <f>ROUND($P$3 * POWER(A55 - 1, $P$4), 0)</f>
        <v>253937</v>
      </c>
      <c r="E55">
        <f>ROUND($Q$3 * POWER(A55 - 1, $Q$4), 0)</f>
        <v>472133</v>
      </c>
      <c r="F55">
        <f t="shared" si="0"/>
        <v>1723</v>
      </c>
      <c r="G55">
        <f t="shared" si="1"/>
        <v>4080</v>
      </c>
      <c r="H55">
        <f t="shared" si="2"/>
        <v>8559</v>
      </c>
      <c r="I55">
        <f t="shared" si="3"/>
        <v>16782</v>
      </c>
    </row>
    <row r="56" spans="1:9" x14ac:dyDescent="0.25">
      <c r="A56" s="7">
        <v>55</v>
      </c>
      <c r="B56">
        <f>ROUND( $N$3*POWER(A56-1,$N$4), 0)</f>
        <v>59133</v>
      </c>
      <c r="C56">
        <f>ROUND($O$3*POWER(A56 -1,$O$4), 0)</f>
        <v>132178</v>
      </c>
      <c r="D56">
        <f>ROUND($P$3 * POWER(A56 - 1, $P$4), 0)</f>
        <v>262627</v>
      </c>
      <c r="E56">
        <f>ROUND($Q$3 * POWER(A56 - 1, $Q$4), 0)</f>
        <v>489202</v>
      </c>
      <c r="F56">
        <f t="shared" si="0"/>
        <v>1742</v>
      </c>
      <c r="G56">
        <f t="shared" si="1"/>
        <v>4134</v>
      </c>
      <c r="H56">
        <f t="shared" si="2"/>
        <v>8690</v>
      </c>
      <c r="I56">
        <f t="shared" si="3"/>
        <v>17069</v>
      </c>
    </row>
    <row r="57" spans="1:9" x14ac:dyDescent="0.25">
      <c r="A57" s="8">
        <v>56</v>
      </c>
      <c r="B57">
        <f>ROUND( $N$3*POWER(A57-1,$N$4), 0)</f>
        <v>60895</v>
      </c>
      <c r="C57">
        <f>ROUND($O$3*POWER(A57 -1,$O$4), 0)</f>
        <v>136367</v>
      </c>
      <c r="D57">
        <f>ROUND($P$3 * POWER(A57 - 1, $P$4), 0)</f>
        <v>271446</v>
      </c>
      <c r="E57">
        <f>ROUND($Q$3 * POWER(A57 - 1, $Q$4), 0)</f>
        <v>506558</v>
      </c>
      <c r="F57">
        <f t="shared" si="0"/>
        <v>1762</v>
      </c>
      <c r="G57">
        <f t="shared" si="1"/>
        <v>4189</v>
      </c>
      <c r="H57">
        <f t="shared" si="2"/>
        <v>8819</v>
      </c>
      <c r="I57">
        <f t="shared" si="3"/>
        <v>17356</v>
      </c>
    </row>
    <row r="58" spans="1:9" x14ac:dyDescent="0.25">
      <c r="A58" s="7">
        <v>57</v>
      </c>
      <c r="B58">
        <f>ROUND( $N$3*POWER(A58-1,$N$4), 0)</f>
        <v>62676</v>
      </c>
      <c r="C58">
        <f>ROUND($O$3*POWER(A58 -1,$O$4), 0)</f>
        <v>140608</v>
      </c>
      <c r="D58">
        <f>ROUND($P$3 * POWER(A58 - 1, $P$4), 0)</f>
        <v>280394</v>
      </c>
      <c r="E58">
        <f>ROUND($Q$3 * POWER(A58 - 1, $Q$4), 0)</f>
        <v>524200</v>
      </c>
      <c r="F58">
        <f t="shared" si="0"/>
        <v>1781</v>
      </c>
      <c r="G58">
        <f t="shared" si="1"/>
        <v>4241</v>
      </c>
      <c r="H58">
        <f t="shared" si="2"/>
        <v>8948</v>
      </c>
      <c r="I58">
        <f t="shared" si="3"/>
        <v>17642</v>
      </c>
    </row>
    <row r="59" spans="1:9" x14ac:dyDescent="0.25">
      <c r="A59" s="8">
        <v>58</v>
      </c>
      <c r="B59">
        <f>ROUND( $N$3*POWER(A59-1,$N$4), 0)</f>
        <v>64476</v>
      </c>
      <c r="C59">
        <f>ROUND($O$3*POWER(A59 -1,$O$4), 0)</f>
        <v>144903</v>
      </c>
      <c r="D59">
        <f>ROUND($P$3 * POWER(A59 - 1, $P$4), 0)</f>
        <v>289471</v>
      </c>
      <c r="E59">
        <f>ROUND($Q$3 * POWER(A59 - 1, $Q$4), 0)</f>
        <v>542128</v>
      </c>
      <c r="F59">
        <f t="shared" si="0"/>
        <v>1800</v>
      </c>
      <c r="G59">
        <f t="shared" si="1"/>
        <v>4295</v>
      </c>
      <c r="H59">
        <f t="shared" si="2"/>
        <v>9077</v>
      </c>
      <c r="I59">
        <f t="shared" si="3"/>
        <v>17928</v>
      </c>
    </row>
    <row r="60" spans="1:9" x14ac:dyDescent="0.25">
      <c r="A60" s="7">
        <v>59</v>
      </c>
      <c r="B60">
        <f>ROUND( $N$3*POWER(A60-1,$N$4), 0)</f>
        <v>66296</v>
      </c>
      <c r="C60">
        <f>ROUND($O$3*POWER(A60 -1,$O$4), 0)</f>
        <v>149252</v>
      </c>
      <c r="D60">
        <f>ROUND($P$3 * POWER(A60 - 1, $P$4), 0)</f>
        <v>298676</v>
      </c>
      <c r="E60">
        <f>ROUND($Q$3 * POWER(A60 - 1, $Q$4), 0)</f>
        <v>560342</v>
      </c>
      <c r="F60">
        <f t="shared" si="0"/>
        <v>1820</v>
      </c>
      <c r="G60">
        <f t="shared" si="1"/>
        <v>4349</v>
      </c>
      <c r="H60">
        <f t="shared" si="2"/>
        <v>9205</v>
      </c>
      <c r="I60">
        <f t="shared" si="3"/>
        <v>18214</v>
      </c>
    </row>
    <row r="61" spans="1:9" x14ac:dyDescent="0.25">
      <c r="A61" s="8">
        <v>60</v>
      </c>
      <c r="B61">
        <f>ROUND( $N$3*POWER(A61-1,$N$4), 0)</f>
        <v>68134</v>
      </c>
      <c r="C61">
        <f>ROUND($O$3*POWER(A61 -1,$O$4), 0)</f>
        <v>153653</v>
      </c>
      <c r="D61">
        <f>ROUND($P$3 * POWER(A61 - 1, $P$4), 0)</f>
        <v>308009</v>
      </c>
      <c r="E61">
        <f>ROUND($Q$3 * POWER(A61 - 1, $Q$4), 0)</f>
        <v>578840</v>
      </c>
      <c r="F61">
        <f t="shared" si="0"/>
        <v>1838</v>
      </c>
      <c r="G61">
        <f t="shared" si="1"/>
        <v>4401</v>
      </c>
      <c r="H61">
        <f t="shared" si="2"/>
        <v>9333</v>
      </c>
      <c r="I61">
        <f t="shared" si="3"/>
        <v>18498</v>
      </c>
    </row>
    <row r="62" spans="1:9" x14ac:dyDescent="0.25">
      <c r="A62" s="7">
        <v>61</v>
      </c>
      <c r="B62">
        <f>ROUND( $N$3*POWER(A62-1,$N$4), 0)</f>
        <v>69991</v>
      </c>
      <c r="C62">
        <f>ROUND($O$3*POWER(A62 -1,$O$4), 0)</f>
        <v>158106</v>
      </c>
      <c r="D62">
        <f>ROUND($P$3 * POWER(A62 - 1, $P$4), 0)</f>
        <v>317470</v>
      </c>
      <c r="E62">
        <f>ROUND($Q$3 * POWER(A62 - 1, $Q$4), 0)</f>
        <v>597623</v>
      </c>
      <c r="F62">
        <f t="shared" si="0"/>
        <v>1857</v>
      </c>
      <c r="G62">
        <f t="shared" si="1"/>
        <v>4453</v>
      </c>
      <c r="H62">
        <f t="shared" si="2"/>
        <v>9461</v>
      </c>
      <c r="I62">
        <f t="shared" si="3"/>
        <v>18783</v>
      </c>
    </row>
    <row r="63" spans="1:9" x14ac:dyDescent="0.25">
      <c r="A63" s="8">
        <v>62</v>
      </c>
      <c r="B63">
        <f>ROUND( $N$3*POWER(A63-1,$N$4), 0)</f>
        <v>71867</v>
      </c>
      <c r="C63">
        <f>ROUND($O$3*POWER(A63 -1,$O$4), 0)</f>
        <v>162612</v>
      </c>
      <c r="D63">
        <f>ROUND($P$3 * POWER(A63 - 1, $P$4), 0)</f>
        <v>327057</v>
      </c>
      <c r="E63">
        <f>ROUND($Q$3 * POWER(A63 - 1, $Q$4), 0)</f>
        <v>616690</v>
      </c>
      <c r="F63">
        <f t="shared" si="0"/>
        <v>1876</v>
      </c>
      <c r="G63">
        <f t="shared" si="1"/>
        <v>4506</v>
      </c>
      <c r="H63">
        <f t="shared" si="2"/>
        <v>9587</v>
      </c>
      <c r="I63">
        <f t="shared" si="3"/>
        <v>19067</v>
      </c>
    </row>
    <row r="64" spans="1:9" x14ac:dyDescent="0.25">
      <c r="A64" s="7">
        <v>63</v>
      </c>
      <c r="B64">
        <f>ROUND( $N$3*POWER(A64-1,$N$4), 0)</f>
        <v>73761</v>
      </c>
      <c r="C64">
        <f>ROUND($O$3*POWER(A64 -1,$O$4), 0)</f>
        <v>167170</v>
      </c>
      <c r="D64">
        <f>ROUND($P$3 * POWER(A64 - 1, $P$4), 0)</f>
        <v>336771</v>
      </c>
      <c r="E64">
        <f>ROUND($Q$3 * POWER(A64 - 1, $Q$4), 0)</f>
        <v>636040</v>
      </c>
      <c r="F64">
        <f t="shared" si="0"/>
        <v>1894</v>
      </c>
      <c r="G64">
        <f t="shared" si="1"/>
        <v>4558</v>
      </c>
      <c r="H64">
        <f t="shared" si="2"/>
        <v>9714</v>
      </c>
      <c r="I64">
        <f t="shared" si="3"/>
        <v>19350</v>
      </c>
    </row>
    <row r="65" spans="1:9" x14ac:dyDescent="0.25">
      <c r="A65" s="8">
        <v>64</v>
      </c>
      <c r="B65">
        <f>ROUND( $N$3*POWER(A65-1,$N$4), 0)</f>
        <v>75674</v>
      </c>
      <c r="C65">
        <f>ROUND($O$3*POWER(A65 -1,$O$4), 0)</f>
        <v>171779</v>
      </c>
      <c r="D65">
        <f>ROUND($P$3 * POWER(A65 - 1, $P$4), 0)</f>
        <v>346612</v>
      </c>
      <c r="E65">
        <f>ROUND($Q$3 * POWER(A65 - 1, $Q$4), 0)</f>
        <v>655673</v>
      </c>
      <c r="F65">
        <f t="shared" si="0"/>
        <v>1913</v>
      </c>
      <c r="G65">
        <f t="shared" si="1"/>
        <v>4609</v>
      </c>
      <c r="H65">
        <f t="shared" si="2"/>
        <v>9841</v>
      </c>
      <c r="I65">
        <f t="shared" si="3"/>
        <v>19633</v>
      </c>
    </row>
    <row r="66" spans="1:9" x14ac:dyDescent="0.25">
      <c r="A66" s="7">
        <v>65</v>
      </c>
      <c r="B66">
        <f>ROUND( $N$3*POWER(A66-1,$N$4), 0)</f>
        <v>77605</v>
      </c>
      <c r="C66">
        <f>ROUND($O$3*POWER(A66 -1,$O$4), 0)</f>
        <v>176440</v>
      </c>
      <c r="D66">
        <f>ROUND($P$3 * POWER(A66 - 1, $P$4), 0)</f>
        <v>356578</v>
      </c>
      <c r="E66">
        <f>ROUND($Q$3 * POWER(A66 - 1, $Q$4), 0)</f>
        <v>675588</v>
      </c>
      <c r="F66">
        <f t="shared" si="0"/>
        <v>1931</v>
      </c>
      <c r="G66">
        <f t="shared" si="1"/>
        <v>4661</v>
      </c>
      <c r="H66">
        <f t="shared" si="2"/>
        <v>9966</v>
      </c>
      <c r="I66">
        <f t="shared" si="3"/>
        <v>19915</v>
      </c>
    </row>
    <row r="67" spans="1:9" x14ac:dyDescent="0.25">
      <c r="A67" s="8">
        <v>66</v>
      </c>
      <c r="B67">
        <f>ROUND( $N$3*POWER(A67-1,$N$4), 0)</f>
        <v>79554</v>
      </c>
      <c r="C67">
        <f>ROUND($O$3*POWER(A67 -1,$O$4), 0)</f>
        <v>181152</v>
      </c>
      <c r="D67">
        <f>ROUND($P$3 * POWER(A67 - 1, $P$4), 0)</f>
        <v>366669</v>
      </c>
      <c r="E67">
        <f>ROUND($Q$3 * POWER(A67 - 1, $Q$4), 0)</f>
        <v>695786</v>
      </c>
      <c r="F67">
        <f t="shared" si="0"/>
        <v>1949</v>
      </c>
      <c r="G67">
        <f t="shared" si="1"/>
        <v>4712</v>
      </c>
      <c r="H67">
        <f t="shared" si="2"/>
        <v>10091</v>
      </c>
      <c r="I67">
        <f t="shared" si="3"/>
        <v>20198</v>
      </c>
    </row>
    <row r="68" spans="1:9" x14ac:dyDescent="0.25">
      <c r="A68" s="7">
        <v>67</v>
      </c>
      <c r="B68">
        <f>ROUND( $N$3*POWER(A68-1,$N$4), 0)</f>
        <v>81521</v>
      </c>
      <c r="C68">
        <f>ROUND($O$3*POWER(A68 -1,$O$4), 0)</f>
        <v>185916</v>
      </c>
      <c r="D68">
        <f>ROUND($P$3 * POWER(A68 - 1, $P$4), 0)</f>
        <v>376885</v>
      </c>
      <c r="E68">
        <f>ROUND($Q$3 * POWER(A68 - 1, $Q$4), 0)</f>
        <v>716265</v>
      </c>
      <c r="F68">
        <f t="shared" ref="F68:F101" si="4" xml:space="preserve"> B68-B67</f>
        <v>1967</v>
      </c>
      <c r="G68">
        <f t="shared" ref="G68:G101" si="5">C68-C67</f>
        <v>4764</v>
      </c>
      <c r="H68">
        <f t="shared" ref="H68:H101" si="6">D68-D67</f>
        <v>10216</v>
      </c>
      <c r="I68">
        <f t="shared" ref="I68:I101" si="7">E68-E67</f>
        <v>20479</v>
      </c>
    </row>
    <row r="69" spans="1:9" x14ac:dyDescent="0.25">
      <c r="A69" s="8">
        <v>68</v>
      </c>
      <c r="B69">
        <f>ROUND( $N$3*POWER(A69-1,$N$4), 0)</f>
        <v>83506</v>
      </c>
      <c r="C69">
        <f>ROUND($O$3*POWER(A69 -1,$O$4), 0)</f>
        <v>190730</v>
      </c>
      <c r="D69">
        <f>ROUND($P$3 * POWER(A69 - 1, $P$4), 0)</f>
        <v>387226</v>
      </c>
      <c r="E69">
        <f>ROUND($Q$3 * POWER(A69 - 1, $Q$4), 0)</f>
        <v>737025</v>
      </c>
      <c r="F69">
        <f t="shared" si="4"/>
        <v>1985</v>
      </c>
      <c r="G69">
        <f t="shared" si="5"/>
        <v>4814</v>
      </c>
      <c r="H69">
        <f t="shared" si="6"/>
        <v>10341</v>
      </c>
      <c r="I69">
        <f t="shared" si="7"/>
        <v>20760</v>
      </c>
    </row>
    <row r="70" spans="1:9" x14ac:dyDescent="0.25">
      <c r="A70" s="7">
        <v>69</v>
      </c>
      <c r="B70">
        <f>ROUND( $N$3*POWER(A70-1,$N$4), 0)</f>
        <v>85509</v>
      </c>
      <c r="C70">
        <f>ROUND($O$3*POWER(A70 -1,$O$4), 0)</f>
        <v>195594</v>
      </c>
      <c r="D70">
        <f>ROUND($P$3 * POWER(A70 - 1, $P$4), 0)</f>
        <v>397691</v>
      </c>
      <c r="E70">
        <f>ROUND($Q$3 * POWER(A70 - 1, $Q$4), 0)</f>
        <v>758066</v>
      </c>
      <c r="F70">
        <f t="shared" si="4"/>
        <v>2003</v>
      </c>
      <c r="G70">
        <f t="shared" si="5"/>
        <v>4864</v>
      </c>
      <c r="H70">
        <f t="shared" si="6"/>
        <v>10465</v>
      </c>
      <c r="I70">
        <f t="shared" si="7"/>
        <v>21041</v>
      </c>
    </row>
    <row r="71" spans="1:9" x14ac:dyDescent="0.25">
      <c r="A71" s="8">
        <v>70</v>
      </c>
      <c r="B71">
        <f>ROUND( $N$3*POWER(A71-1,$N$4), 0)</f>
        <v>87530</v>
      </c>
      <c r="C71">
        <f>ROUND($O$3*POWER(A71 -1,$O$4), 0)</f>
        <v>200509</v>
      </c>
      <c r="D71">
        <f>ROUND($P$3 * POWER(A71 - 1, $P$4), 0)</f>
        <v>408280</v>
      </c>
      <c r="E71">
        <f>ROUND($Q$3 * POWER(A71 - 1, $Q$4), 0)</f>
        <v>779387</v>
      </c>
      <c r="F71">
        <f t="shared" si="4"/>
        <v>2021</v>
      </c>
      <c r="G71">
        <f t="shared" si="5"/>
        <v>4915</v>
      </c>
      <c r="H71">
        <f t="shared" si="6"/>
        <v>10589</v>
      </c>
      <c r="I71">
        <f t="shared" si="7"/>
        <v>21321</v>
      </c>
    </row>
    <row r="72" spans="1:9" x14ac:dyDescent="0.25">
      <c r="A72" s="7">
        <v>71</v>
      </c>
      <c r="B72">
        <f>ROUND( $N$3*POWER(A72-1,$N$4), 0)</f>
        <v>89569</v>
      </c>
      <c r="C72">
        <f>ROUND($O$3*POWER(A72 -1,$O$4), 0)</f>
        <v>205474</v>
      </c>
      <c r="D72">
        <f>ROUND($P$3 * POWER(A72 - 1, $P$4), 0)</f>
        <v>418993</v>
      </c>
      <c r="E72">
        <f>ROUND($Q$3 * POWER(A72 - 1, $Q$4), 0)</f>
        <v>800989</v>
      </c>
      <c r="F72">
        <f t="shared" si="4"/>
        <v>2039</v>
      </c>
      <c r="G72">
        <f t="shared" si="5"/>
        <v>4965</v>
      </c>
      <c r="H72">
        <f t="shared" si="6"/>
        <v>10713</v>
      </c>
      <c r="I72">
        <f t="shared" si="7"/>
        <v>21602</v>
      </c>
    </row>
    <row r="73" spans="1:9" x14ac:dyDescent="0.25">
      <c r="A73" s="8">
        <v>72</v>
      </c>
      <c r="B73">
        <f>ROUND( $N$3*POWER(A73-1,$N$4), 0)</f>
        <v>91625</v>
      </c>
      <c r="C73">
        <f>ROUND($O$3*POWER(A73 -1,$O$4), 0)</f>
        <v>210490</v>
      </c>
      <c r="D73">
        <f>ROUND($P$3 * POWER(A73 - 1, $P$4), 0)</f>
        <v>429828</v>
      </c>
      <c r="E73">
        <f>ROUND($Q$3 * POWER(A73 - 1, $Q$4), 0)</f>
        <v>822869</v>
      </c>
      <c r="F73">
        <f t="shared" si="4"/>
        <v>2056</v>
      </c>
      <c r="G73">
        <f t="shared" si="5"/>
        <v>5016</v>
      </c>
      <c r="H73">
        <f t="shared" si="6"/>
        <v>10835</v>
      </c>
      <c r="I73">
        <f t="shared" si="7"/>
        <v>21880</v>
      </c>
    </row>
    <row r="74" spans="1:9" x14ac:dyDescent="0.25">
      <c r="A74" s="7">
        <v>73</v>
      </c>
      <c r="B74">
        <f>ROUND( $N$3*POWER(A74-1,$N$4), 0)</f>
        <v>93698</v>
      </c>
      <c r="C74">
        <f>ROUND($O$3*POWER(A74 -1,$O$4), 0)</f>
        <v>215554</v>
      </c>
      <c r="D74">
        <f>ROUND($P$3 * POWER(A74 - 1, $P$4), 0)</f>
        <v>440787</v>
      </c>
      <c r="E74">
        <f>ROUND($Q$3 * POWER(A74 - 1, $Q$4), 0)</f>
        <v>845029</v>
      </c>
      <c r="F74">
        <f t="shared" si="4"/>
        <v>2073</v>
      </c>
      <c r="G74">
        <f t="shared" si="5"/>
        <v>5064</v>
      </c>
      <c r="H74">
        <f t="shared" si="6"/>
        <v>10959</v>
      </c>
      <c r="I74">
        <f t="shared" si="7"/>
        <v>22160</v>
      </c>
    </row>
    <row r="75" spans="1:9" x14ac:dyDescent="0.25">
      <c r="A75" s="8">
        <v>74</v>
      </c>
      <c r="B75">
        <f>ROUND( $N$3*POWER(A75-1,$N$4), 0)</f>
        <v>95789</v>
      </c>
      <c r="C75">
        <f>ROUND($O$3*POWER(A75 -1,$O$4), 0)</f>
        <v>220668</v>
      </c>
      <c r="D75">
        <f>ROUND($P$3 * POWER(A75 - 1, $P$4), 0)</f>
        <v>451868</v>
      </c>
      <c r="E75">
        <f>ROUND($Q$3 * POWER(A75 - 1, $Q$4), 0)</f>
        <v>867468</v>
      </c>
      <c r="F75">
        <f t="shared" si="4"/>
        <v>2091</v>
      </c>
      <c r="G75">
        <f t="shared" si="5"/>
        <v>5114</v>
      </c>
      <c r="H75">
        <f t="shared" si="6"/>
        <v>11081</v>
      </c>
      <c r="I75">
        <f t="shared" si="7"/>
        <v>22439</v>
      </c>
    </row>
    <row r="76" spans="1:9" x14ac:dyDescent="0.25">
      <c r="A76" s="7">
        <v>75</v>
      </c>
      <c r="B76">
        <f>ROUND( $N$3*POWER(A76-1,$N$4), 0)</f>
        <v>97897</v>
      </c>
      <c r="C76">
        <f>ROUND($O$3*POWER(A76 -1,$O$4), 0)</f>
        <v>225832</v>
      </c>
      <c r="D76">
        <f>ROUND($P$3 * POWER(A76 - 1, $P$4), 0)</f>
        <v>463070</v>
      </c>
      <c r="E76">
        <f>ROUND($Q$3 * POWER(A76 - 1, $Q$4), 0)</f>
        <v>890185</v>
      </c>
      <c r="F76">
        <f t="shared" si="4"/>
        <v>2108</v>
      </c>
      <c r="G76">
        <f t="shared" si="5"/>
        <v>5164</v>
      </c>
      <c r="H76">
        <f t="shared" si="6"/>
        <v>11202</v>
      </c>
      <c r="I76">
        <f t="shared" si="7"/>
        <v>22717</v>
      </c>
    </row>
    <row r="77" spans="1:9" x14ac:dyDescent="0.25">
      <c r="A77" s="8">
        <v>76</v>
      </c>
      <c r="B77">
        <f>ROUND( $N$3*POWER(A77-1,$N$4), 0)</f>
        <v>100023</v>
      </c>
      <c r="C77">
        <f>ROUND($O$3*POWER(A77 -1,$O$4), 0)</f>
        <v>231044</v>
      </c>
      <c r="D77">
        <f>ROUND($P$3 * POWER(A77 - 1, $P$4), 0)</f>
        <v>474395</v>
      </c>
      <c r="E77">
        <f>ROUND($Q$3 * POWER(A77 - 1, $Q$4), 0)</f>
        <v>913180</v>
      </c>
      <c r="F77">
        <f t="shared" si="4"/>
        <v>2126</v>
      </c>
      <c r="G77">
        <f t="shared" si="5"/>
        <v>5212</v>
      </c>
      <c r="H77">
        <f t="shared" si="6"/>
        <v>11325</v>
      </c>
      <c r="I77">
        <f t="shared" si="7"/>
        <v>22995</v>
      </c>
    </row>
    <row r="78" spans="1:9" x14ac:dyDescent="0.25">
      <c r="A78" s="7">
        <v>77</v>
      </c>
      <c r="B78">
        <f>ROUND( $N$3*POWER(A78-1,$N$4), 0)</f>
        <v>102165</v>
      </c>
      <c r="C78">
        <f>ROUND($O$3*POWER(A78 -1,$O$4), 0)</f>
        <v>236306</v>
      </c>
      <c r="D78">
        <f>ROUND($P$3 * POWER(A78 - 1, $P$4), 0)</f>
        <v>485841</v>
      </c>
      <c r="E78">
        <f>ROUND($Q$3 * POWER(A78 - 1, $Q$4), 0)</f>
        <v>936453</v>
      </c>
      <c r="F78">
        <f t="shared" si="4"/>
        <v>2142</v>
      </c>
      <c r="G78">
        <f t="shared" si="5"/>
        <v>5262</v>
      </c>
      <c r="H78">
        <f t="shared" si="6"/>
        <v>11446</v>
      </c>
      <c r="I78">
        <f t="shared" si="7"/>
        <v>23273</v>
      </c>
    </row>
    <row r="79" spans="1:9" x14ac:dyDescent="0.25">
      <c r="A79" s="8">
        <v>78</v>
      </c>
      <c r="B79">
        <f>ROUND( $N$3*POWER(A79-1,$N$4), 0)</f>
        <v>104324</v>
      </c>
      <c r="C79">
        <f>ROUND($O$3*POWER(A79 -1,$O$4), 0)</f>
        <v>241616</v>
      </c>
      <c r="D79">
        <f>ROUND($P$3 * POWER(A79 - 1, $P$4), 0)</f>
        <v>497409</v>
      </c>
      <c r="E79">
        <f>ROUND($Q$3 * POWER(A79 - 1, $Q$4), 0)</f>
        <v>960003</v>
      </c>
      <c r="F79">
        <f t="shared" si="4"/>
        <v>2159</v>
      </c>
      <c r="G79">
        <f t="shared" si="5"/>
        <v>5310</v>
      </c>
      <c r="H79">
        <f t="shared" si="6"/>
        <v>11568</v>
      </c>
      <c r="I79">
        <f t="shared" si="7"/>
        <v>23550</v>
      </c>
    </row>
    <row r="80" spans="1:9" x14ac:dyDescent="0.25">
      <c r="A80" s="7">
        <v>79</v>
      </c>
      <c r="B80">
        <f>ROUND( $N$3*POWER(A80-1,$N$4), 0)</f>
        <v>106500</v>
      </c>
      <c r="C80">
        <f>ROUND($O$3*POWER(A80 -1,$O$4), 0)</f>
        <v>246974</v>
      </c>
      <c r="D80">
        <f>ROUND($P$3 * POWER(A80 - 1, $P$4), 0)</f>
        <v>509097</v>
      </c>
      <c r="E80">
        <f>ROUND($Q$3 * POWER(A80 - 1, $Q$4), 0)</f>
        <v>983829</v>
      </c>
      <c r="F80">
        <f t="shared" si="4"/>
        <v>2176</v>
      </c>
      <c r="G80">
        <f t="shared" si="5"/>
        <v>5358</v>
      </c>
      <c r="H80">
        <f t="shared" si="6"/>
        <v>11688</v>
      </c>
      <c r="I80">
        <f t="shared" si="7"/>
        <v>23826</v>
      </c>
    </row>
    <row r="81" spans="1:9" x14ac:dyDescent="0.25">
      <c r="A81" s="8">
        <v>80</v>
      </c>
      <c r="B81">
        <f>ROUND( $N$3*POWER(A81-1,$N$4), 0)</f>
        <v>108693</v>
      </c>
      <c r="C81">
        <f>ROUND($O$3*POWER(A81 -1,$O$4), 0)</f>
        <v>252381</v>
      </c>
      <c r="D81">
        <f>ROUND($P$3 * POWER(A81 - 1, $P$4), 0)</f>
        <v>520905</v>
      </c>
      <c r="E81">
        <f>ROUND($Q$3 * POWER(A81 - 1, $Q$4), 0)</f>
        <v>1007933</v>
      </c>
      <c r="F81">
        <f t="shared" si="4"/>
        <v>2193</v>
      </c>
      <c r="G81">
        <f t="shared" si="5"/>
        <v>5407</v>
      </c>
      <c r="H81">
        <f t="shared" si="6"/>
        <v>11808</v>
      </c>
      <c r="I81">
        <f t="shared" si="7"/>
        <v>24104</v>
      </c>
    </row>
    <row r="82" spans="1:9" x14ac:dyDescent="0.25">
      <c r="A82" s="7">
        <v>81</v>
      </c>
      <c r="B82">
        <f>ROUND( $N$3*POWER(A82-1,$N$4), 0)</f>
        <v>110903</v>
      </c>
      <c r="C82">
        <f>ROUND($O$3*POWER(A82 -1,$O$4), 0)</f>
        <v>257836</v>
      </c>
      <c r="D82">
        <f>ROUND($P$3 * POWER(A82 - 1, $P$4), 0)</f>
        <v>532834</v>
      </c>
      <c r="E82">
        <f>ROUND($Q$3 * POWER(A82 - 1, $Q$4), 0)</f>
        <v>1032312</v>
      </c>
      <c r="F82">
        <f t="shared" si="4"/>
        <v>2210</v>
      </c>
      <c r="G82">
        <f t="shared" si="5"/>
        <v>5455</v>
      </c>
      <c r="H82">
        <f t="shared" si="6"/>
        <v>11929</v>
      </c>
      <c r="I82">
        <f t="shared" si="7"/>
        <v>24379</v>
      </c>
    </row>
    <row r="83" spans="1:9" x14ac:dyDescent="0.25">
      <c r="A83" s="8">
        <v>82</v>
      </c>
      <c r="B83">
        <f>ROUND( $N$3*POWER(A83-1,$N$4), 0)</f>
        <v>113130</v>
      </c>
      <c r="C83">
        <f>ROUND($O$3*POWER(A83 -1,$O$4), 0)</f>
        <v>263339</v>
      </c>
      <c r="D83">
        <f>ROUND($P$3 * POWER(A83 - 1, $P$4), 0)</f>
        <v>544883</v>
      </c>
      <c r="E83">
        <f>ROUND($Q$3 * POWER(A83 - 1, $Q$4), 0)</f>
        <v>1056967</v>
      </c>
      <c r="F83">
        <f t="shared" si="4"/>
        <v>2227</v>
      </c>
      <c r="G83">
        <f t="shared" si="5"/>
        <v>5503</v>
      </c>
      <c r="H83">
        <f t="shared" si="6"/>
        <v>12049</v>
      </c>
      <c r="I83">
        <f t="shared" si="7"/>
        <v>24655</v>
      </c>
    </row>
    <row r="84" spans="1:9" x14ac:dyDescent="0.25">
      <c r="A84" s="7">
        <v>83</v>
      </c>
      <c r="B84">
        <f>ROUND( $N$3*POWER(A84-1,$N$4), 0)</f>
        <v>115372</v>
      </c>
      <c r="C84">
        <f>ROUND($O$3*POWER(A84 -1,$O$4), 0)</f>
        <v>268890</v>
      </c>
      <c r="D84">
        <f>ROUND($P$3 * POWER(A84 - 1, $P$4), 0)</f>
        <v>557051</v>
      </c>
      <c r="E84">
        <f>ROUND($Q$3 * POWER(A84 - 1, $Q$4), 0)</f>
        <v>1081898</v>
      </c>
      <c r="F84">
        <f t="shared" si="4"/>
        <v>2242</v>
      </c>
      <c r="G84">
        <f t="shared" si="5"/>
        <v>5551</v>
      </c>
      <c r="H84">
        <f t="shared" si="6"/>
        <v>12168</v>
      </c>
      <c r="I84">
        <f t="shared" si="7"/>
        <v>24931</v>
      </c>
    </row>
    <row r="85" spans="1:9" x14ac:dyDescent="0.25">
      <c r="A85" s="8">
        <v>84</v>
      </c>
      <c r="B85">
        <f>ROUND( $N$3*POWER(A85-1,$N$4), 0)</f>
        <v>117632</v>
      </c>
      <c r="C85">
        <f>ROUND($O$3*POWER(A85 -1,$O$4), 0)</f>
        <v>274488</v>
      </c>
      <c r="D85">
        <f>ROUND($P$3 * POWER(A85 - 1, $P$4), 0)</f>
        <v>569339</v>
      </c>
      <c r="E85">
        <f>ROUND($Q$3 * POWER(A85 - 1, $Q$4), 0)</f>
        <v>1107104</v>
      </c>
      <c r="F85">
        <f t="shared" si="4"/>
        <v>2260</v>
      </c>
      <c r="G85">
        <f t="shared" si="5"/>
        <v>5598</v>
      </c>
      <c r="H85">
        <f t="shared" si="6"/>
        <v>12288</v>
      </c>
      <c r="I85">
        <f t="shared" si="7"/>
        <v>25206</v>
      </c>
    </row>
    <row r="86" spans="1:9" x14ac:dyDescent="0.25">
      <c r="A86" s="7">
        <v>85</v>
      </c>
      <c r="B86">
        <f>ROUND( $N$3*POWER(A86-1,$N$4), 0)</f>
        <v>119908</v>
      </c>
      <c r="C86">
        <f>ROUND($O$3*POWER(A86 -1,$O$4), 0)</f>
        <v>280134</v>
      </c>
      <c r="D86">
        <f>ROUND($P$3 * POWER(A86 - 1, $P$4), 0)</f>
        <v>581745</v>
      </c>
      <c r="E86">
        <f>ROUND($Q$3 * POWER(A86 - 1, $Q$4), 0)</f>
        <v>1132585</v>
      </c>
      <c r="F86">
        <f t="shared" si="4"/>
        <v>2276</v>
      </c>
      <c r="G86">
        <f t="shared" si="5"/>
        <v>5646</v>
      </c>
      <c r="H86">
        <f t="shared" si="6"/>
        <v>12406</v>
      </c>
      <c r="I86">
        <f t="shared" si="7"/>
        <v>25481</v>
      </c>
    </row>
    <row r="87" spans="1:9" x14ac:dyDescent="0.25">
      <c r="A87" s="8">
        <v>86</v>
      </c>
      <c r="B87">
        <f>ROUND( $N$3*POWER(A87-1,$N$4), 0)</f>
        <v>122200</v>
      </c>
      <c r="C87">
        <f>ROUND($O$3*POWER(A87 -1,$O$4), 0)</f>
        <v>285827</v>
      </c>
      <c r="D87">
        <f>ROUND($P$3 * POWER(A87 - 1, $P$4), 0)</f>
        <v>594270</v>
      </c>
      <c r="E87">
        <f>ROUND($Q$3 * POWER(A87 - 1, $Q$4), 0)</f>
        <v>1158340</v>
      </c>
      <c r="F87">
        <f t="shared" si="4"/>
        <v>2292</v>
      </c>
      <c r="G87">
        <f t="shared" si="5"/>
        <v>5693</v>
      </c>
      <c r="H87">
        <f t="shared" si="6"/>
        <v>12525</v>
      </c>
      <c r="I87">
        <f t="shared" si="7"/>
        <v>25755</v>
      </c>
    </row>
    <row r="88" spans="1:9" x14ac:dyDescent="0.25">
      <c r="A88" s="7">
        <v>87</v>
      </c>
      <c r="B88">
        <f>ROUND( $N$3*POWER(A88-1,$N$4), 0)</f>
        <v>124508</v>
      </c>
      <c r="C88">
        <f>ROUND($O$3*POWER(A88 -1,$O$4), 0)</f>
        <v>291567</v>
      </c>
      <c r="D88">
        <f>ROUND($P$3 * POWER(A88 - 1, $P$4), 0)</f>
        <v>606914</v>
      </c>
      <c r="E88">
        <f>ROUND($Q$3 * POWER(A88 - 1, $Q$4), 0)</f>
        <v>1184369</v>
      </c>
      <c r="F88">
        <f t="shared" si="4"/>
        <v>2308</v>
      </c>
      <c r="G88">
        <f t="shared" si="5"/>
        <v>5740</v>
      </c>
      <c r="H88">
        <f t="shared" si="6"/>
        <v>12644</v>
      </c>
      <c r="I88">
        <f t="shared" si="7"/>
        <v>26029</v>
      </c>
    </row>
    <row r="89" spans="1:9" x14ac:dyDescent="0.25">
      <c r="A89" s="8">
        <v>88</v>
      </c>
      <c r="B89">
        <f>ROUND( $N$3*POWER(A89-1,$N$4), 0)</f>
        <v>126833</v>
      </c>
      <c r="C89">
        <f>ROUND($O$3*POWER(A89 -1,$O$4), 0)</f>
        <v>297354</v>
      </c>
      <c r="D89">
        <f>ROUND($P$3 * POWER(A89 - 1, $P$4), 0)</f>
        <v>619676</v>
      </c>
      <c r="E89">
        <f>ROUND($Q$3 * POWER(A89 - 1, $Q$4), 0)</f>
        <v>1210672</v>
      </c>
      <c r="F89">
        <f t="shared" si="4"/>
        <v>2325</v>
      </c>
      <c r="G89">
        <f t="shared" si="5"/>
        <v>5787</v>
      </c>
      <c r="H89">
        <f t="shared" si="6"/>
        <v>12762</v>
      </c>
      <c r="I89">
        <f t="shared" si="7"/>
        <v>26303</v>
      </c>
    </row>
    <row r="90" spans="1:9" x14ac:dyDescent="0.25">
      <c r="A90" s="7">
        <v>89</v>
      </c>
      <c r="B90">
        <f>ROUND( $N$3*POWER(A90-1,$N$4), 0)</f>
        <v>129173</v>
      </c>
      <c r="C90">
        <f>ROUND($O$3*POWER(A90 -1,$O$4), 0)</f>
        <v>303188</v>
      </c>
      <c r="D90">
        <f>ROUND($P$3 * POWER(A90 - 1, $P$4), 0)</f>
        <v>632556</v>
      </c>
      <c r="E90">
        <f>ROUND($Q$3 * POWER(A90 - 1, $Q$4), 0)</f>
        <v>1237249</v>
      </c>
      <c r="F90">
        <f t="shared" si="4"/>
        <v>2340</v>
      </c>
      <c r="G90">
        <f t="shared" si="5"/>
        <v>5834</v>
      </c>
      <c r="H90">
        <f t="shared" si="6"/>
        <v>12880</v>
      </c>
      <c r="I90">
        <f t="shared" si="7"/>
        <v>26577</v>
      </c>
    </row>
    <row r="91" spans="1:9" x14ac:dyDescent="0.25">
      <c r="A91" s="8">
        <v>90</v>
      </c>
      <c r="B91">
        <f>ROUND( $N$3*POWER(A91-1,$N$4), 0)</f>
        <v>131530</v>
      </c>
      <c r="C91">
        <f>ROUND($O$3*POWER(A91 -1,$O$4), 0)</f>
        <v>309068</v>
      </c>
      <c r="D91">
        <f>ROUND($P$3 * POWER(A91 - 1, $P$4), 0)</f>
        <v>645553</v>
      </c>
      <c r="E91">
        <f>ROUND($Q$3 * POWER(A91 - 1, $Q$4), 0)</f>
        <v>1264099</v>
      </c>
      <c r="F91">
        <f t="shared" si="4"/>
        <v>2357</v>
      </c>
      <c r="G91">
        <f t="shared" si="5"/>
        <v>5880</v>
      </c>
      <c r="H91">
        <f t="shared" si="6"/>
        <v>12997</v>
      </c>
      <c r="I91">
        <f t="shared" si="7"/>
        <v>26850</v>
      </c>
    </row>
    <row r="92" spans="1:9" x14ac:dyDescent="0.25">
      <c r="A92" s="7">
        <v>91</v>
      </c>
      <c r="B92">
        <f>ROUND( $N$3*POWER(A92-1,$N$4), 0)</f>
        <v>133902</v>
      </c>
      <c r="C92">
        <f>ROUND($O$3*POWER(A92 -1,$O$4), 0)</f>
        <v>314995</v>
      </c>
      <c r="D92">
        <f>ROUND($P$3 * POWER(A92 - 1, $P$4), 0)</f>
        <v>658668</v>
      </c>
      <c r="E92">
        <f>ROUND($Q$3 * POWER(A92 - 1, $Q$4), 0)</f>
        <v>1291222</v>
      </c>
      <c r="F92">
        <f t="shared" si="4"/>
        <v>2372</v>
      </c>
      <c r="G92">
        <f t="shared" si="5"/>
        <v>5927</v>
      </c>
      <c r="H92">
        <f t="shared" si="6"/>
        <v>13115</v>
      </c>
      <c r="I92">
        <f t="shared" si="7"/>
        <v>27123</v>
      </c>
    </row>
    <row r="93" spans="1:9" x14ac:dyDescent="0.25">
      <c r="A93" s="8">
        <v>92</v>
      </c>
      <c r="B93">
        <f>ROUND( $N$3*POWER(A93-1,$N$4), 0)</f>
        <v>136291</v>
      </c>
      <c r="C93">
        <f>ROUND($O$3*POWER(A93 -1,$O$4), 0)</f>
        <v>320968</v>
      </c>
      <c r="D93">
        <f>ROUND($P$3 * POWER(A93 - 1, $P$4), 0)</f>
        <v>671900</v>
      </c>
      <c r="E93">
        <f>ROUND($Q$3 * POWER(A93 - 1, $Q$4), 0)</f>
        <v>1318617</v>
      </c>
      <c r="F93">
        <f t="shared" si="4"/>
        <v>2389</v>
      </c>
      <c r="G93">
        <f t="shared" si="5"/>
        <v>5973</v>
      </c>
      <c r="H93">
        <f t="shared" si="6"/>
        <v>13232</v>
      </c>
      <c r="I93">
        <f t="shared" si="7"/>
        <v>27395</v>
      </c>
    </row>
    <row r="94" spans="1:9" x14ac:dyDescent="0.25">
      <c r="A94" s="7">
        <v>93</v>
      </c>
      <c r="B94">
        <f>ROUND( $N$3*POWER(A94-1,$N$4), 0)</f>
        <v>138695</v>
      </c>
      <c r="C94">
        <f>ROUND($O$3*POWER(A94 -1,$O$4), 0)</f>
        <v>326987</v>
      </c>
      <c r="D94">
        <f>ROUND($P$3 * POWER(A94 - 1, $P$4), 0)</f>
        <v>685248</v>
      </c>
      <c r="E94">
        <f>ROUND($Q$3 * POWER(A94 - 1, $Q$4), 0)</f>
        <v>1346285</v>
      </c>
      <c r="F94">
        <f t="shared" si="4"/>
        <v>2404</v>
      </c>
      <c r="G94">
        <f t="shared" si="5"/>
        <v>6019</v>
      </c>
      <c r="H94">
        <f t="shared" si="6"/>
        <v>13348</v>
      </c>
      <c r="I94">
        <f t="shared" si="7"/>
        <v>27668</v>
      </c>
    </row>
    <row r="95" spans="1:9" x14ac:dyDescent="0.25">
      <c r="A95" s="8">
        <v>94</v>
      </c>
      <c r="B95">
        <f>ROUND( $N$3*POWER(A95-1,$N$4), 0)</f>
        <v>141115</v>
      </c>
      <c r="C95">
        <f>ROUND($O$3*POWER(A95 -1,$O$4), 0)</f>
        <v>333052</v>
      </c>
      <c r="D95">
        <f>ROUND($P$3 * POWER(A95 - 1, $P$4), 0)</f>
        <v>698714</v>
      </c>
      <c r="E95">
        <f>ROUND($Q$3 * POWER(A95 - 1, $Q$4), 0)</f>
        <v>1374224</v>
      </c>
      <c r="F95">
        <f t="shared" si="4"/>
        <v>2420</v>
      </c>
      <c r="G95">
        <f t="shared" si="5"/>
        <v>6065</v>
      </c>
      <c r="H95">
        <f t="shared" si="6"/>
        <v>13466</v>
      </c>
      <c r="I95">
        <f t="shared" si="7"/>
        <v>27939</v>
      </c>
    </row>
    <row r="96" spans="1:9" x14ac:dyDescent="0.25">
      <c r="A96" s="7">
        <v>95</v>
      </c>
      <c r="B96">
        <f>ROUND( $N$3*POWER(A96-1,$N$4), 0)</f>
        <v>143550</v>
      </c>
      <c r="C96">
        <f>ROUND($O$3*POWER(A96 -1,$O$4), 0)</f>
        <v>339163</v>
      </c>
      <c r="D96">
        <f>ROUND($P$3 * POWER(A96 - 1, $P$4), 0)</f>
        <v>712295</v>
      </c>
      <c r="E96">
        <f>ROUND($Q$3 * POWER(A96 - 1, $Q$4), 0)</f>
        <v>1402436</v>
      </c>
      <c r="F96">
        <f t="shared" si="4"/>
        <v>2435</v>
      </c>
      <c r="G96">
        <f t="shared" si="5"/>
        <v>6111</v>
      </c>
      <c r="H96">
        <f t="shared" si="6"/>
        <v>13581</v>
      </c>
      <c r="I96">
        <f t="shared" si="7"/>
        <v>28212</v>
      </c>
    </row>
    <row r="97" spans="1:9" x14ac:dyDescent="0.25">
      <c r="A97" s="8">
        <v>96</v>
      </c>
      <c r="B97">
        <f>ROUND( $N$3*POWER(A97-1,$N$4), 0)</f>
        <v>146002</v>
      </c>
      <c r="C97">
        <f>ROUND($O$3*POWER(A97 -1,$O$4), 0)</f>
        <v>345320</v>
      </c>
      <c r="D97">
        <f>ROUND($P$3 * POWER(A97 - 1, $P$4), 0)</f>
        <v>725993</v>
      </c>
      <c r="E97">
        <f>ROUND($Q$3 * POWER(A97 - 1, $Q$4), 0)</f>
        <v>1430918</v>
      </c>
      <c r="F97">
        <f t="shared" si="4"/>
        <v>2452</v>
      </c>
      <c r="G97">
        <f t="shared" si="5"/>
        <v>6157</v>
      </c>
      <c r="H97">
        <f t="shared" si="6"/>
        <v>13698</v>
      </c>
      <c r="I97">
        <f t="shared" si="7"/>
        <v>28482</v>
      </c>
    </row>
    <row r="98" spans="1:9" x14ac:dyDescent="0.25">
      <c r="A98" s="7">
        <v>97</v>
      </c>
      <c r="B98">
        <f>ROUND( $N$3*POWER(A98-1,$N$4), 0)</f>
        <v>148468</v>
      </c>
      <c r="C98">
        <f>ROUND($O$3*POWER(A98 -1,$O$4), 0)</f>
        <v>351522</v>
      </c>
      <c r="D98">
        <f>ROUND($P$3 * POWER(A98 - 1, $P$4), 0)</f>
        <v>739807</v>
      </c>
      <c r="E98">
        <f>ROUND($Q$3 * POWER(A98 - 1, $Q$4), 0)</f>
        <v>1459672</v>
      </c>
      <c r="F98">
        <f t="shared" si="4"/>
        <v>2466</v>
      </c>
      <c r="G98">
        <f t="shared" si="5"/>
        <v>6202</v>
      </c>
      <c r="H98">
        <f t="shared" si="6"/>
        <v>13814</v>
      </c>
      <c r="I98">
        <f t="shared" si="7"/>
        <v>28754</v>
      </c>
    </row>
    <row r="99" spans="1:9" x14ac:dyDescent="0.25">
      <c r="A99" s="8">
        <v>98</v>
      </c>
      <c r="B99">
        <f>ROUND( $N$3*POWER(A99-1,$N$4), 0)</f>
        <v>150951</v>
      </c>
      <c r="C99">
        <f>ROUND($O$3*POWER(A99 -1,$O$4), 0)</f>
        <v>357769</v>
      </c>
      <c r="D99">
        <f>ROUND($P$3 * POWER(A99 - 1, $P$4), 0)</f>
        <v>753736</v>
      </c>
      <c r="E99">
        <f>ROUND($Q$3 * POWER(A99 - 1, $Q$4), 0)</f>
        <v>1488697</v>
      </c>
      <c r="F99">
        <f t="shared" si="4"/>
        <v>2483</v>
      </c>
      <c r="G99">
        <f t="shared" si="5"/>
        <v>6247</v>
      </c>
      <c r="H99">
        <f t="shared" si="6"/>
        <v>13929</v>
      </c>
      <c r="I99">
        <f t="shared" si="7"/>
        <v>29025</v>
      </c>
    </row>
    <row r="100" spans="1:9" x14ac:dyDescent="0.25">
      <c r="A100" s="7">
        <v>99</v>
      </c>
      <c r="B100">
        <f>ROUND( $N$3*POWER(A100-1,$N$4), 0)</f>
        <v>153448</v>
      </c>
      <c r="C100">
        <f>ROUND($O$3*POWER(A100 -1,$O$4), 0)</f>
        <v>364062</v>
      </c>
      <c r="D100">
        <f>ROUND($P$3 * POWER(A100 - 1, $P$4), 0)</f>
        <v>767780</v>
      </c>
      <c r="E100">
        <f>ROUND($Q$3 * POWER(A100 - 1, $Q$4), 0)</f>
        <v>1517992</v>
      </c>
      <c r="F100">
        <f t="shared" si="4"/>
        <v>2497</v>
      </c>
      <c r="G100">
        <f t="shared" si="5"/>
        <v>6293</v>
      </c>
      <c r="H100">
        <f t="shared" si="6"/>
        <v>14044</v>
      </c>
      <c r="I100">
        <f t="shared" si="7"/>
        <v>29295</v>
      </c>
    </row>
    <row r="101" spans="1:9" x14ac:dyDescent="0.25">
      <c r="A101" s="8">
        <v>100</v>
      </c>
      <c r="B101">
        <f>ROUND( $N$3*POWER(A101-1,$N$4), 0)</f>
        <v>155961</v>
      </c>
      <c r="C101">
        <f>ROUND($O$3*POWER(A101 -1,$O$4), 0)</f>
        <v>370400</v>
      </c>
      <c r="D101">
        <f>ROUND($P$3 * POWER(A101 - 1, $P$4), 0)</f>
        <v>781940</v>
      </c>
      <c r="E101">
        <f>ROUND($Q$3 * POWER(A101 - 1, $Q$4), 0)</f>
        <v>1547558</v>
      </c>
      <c r="F101">
        <f t="shared" si="4"/>
        <v>2513</v>
      </c>
      <c r="G101">
        <f t="shared" si="5"/>
        <v>6338</v>
      </c>
      <c r="H101">
        <f t="shared" si="6"/>
        <v>14160</v>
      </c>
      <c r="I101">
        <f t="shared" si="7"/>
        <v>29566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1" sqref="D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503</v>
      </c>
      <c r="C1" s="18" t="s">
        <v>504</v>
      </c>
      <c r="D1" s="18" t="s">
        <v>505</v>
      </c>
      <c r="E1" s="18" t="s">
        <v>506</v>
      </c>
      <c r="F1" s="18" t="s">
        <v>507</v>
      </c>
      <c r="G1" s="18" t="s">
        <v>508</v>
      </c>
    </row>
    <row r="2" spans="1:7" x14ac:dyDescent="0.25">
      <c r="A2" t="s">
        <v>509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509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509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509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s="12" t="s">
        <v>510</v>
      </c>
      <c r="B6" s="8">
        <v>1</v>
      </c>
      <c r="C6" s="8">
        <v>20</v>
      </c>
      <c r="D6" s="8">
        <v>40</v>
      </c>
      <c r="E6" s="8">
        <v>10000</v>
      </c>
      <c r="F6" t="s">
        <v>124</v>
      </c>
      <c r="G6" s="8">
        <v>5</v>
      </c>
    </row>
    <row r="7" spans="1:7" x14ac:dyDescent="0.25">
      <c r="A7" s="12" t="s">
        <v>510</v>
      </c>
      <c r="B7" s="8">
        <v>2</v>
      </c>
      <c r="C7" s="8">
        <v>40</v>
      </c>
      <c r="D7" s="8">
        <v>60</v>
      </c>
      <c r="E7" s="8">
        <v>50000</v>
      </c>
      <c r="F7" t="s">
        <v>124</v>
      </c>
      <c r="G7" s="8">
        <v>10</v>
      </c>
    </row>
    <row r="8" spans="1:7" x14ac:dyDescent="0.25">
      <c r="A8" s="12" t="s">
        <v>510</v>
      </c>
      <c r="B8" s="8">
        <v>3</v>
      </c>
      <c r="C8" s="8">
        <v>60</v>
      </c>
      <c r="D8" s="8">
        <v>80</v>
      </c>
      <c r="E8" s="8">
        <v>200000</v>
      </c>
      <c r="F8" t="s">
        <v>124</v>
      </c>
      <c r="G8" s="8">
        <v>15</v>
      </c>
    </row>
    <row r="9" spans="1:7" x14ac:dyDescent="0.25">
      <c r="A9" s="12" t="s">
        <v>510</v>
      </c>
      <c r="B9" s="8">
        <v>4</v>
      </c>
      <c r="C9" s="8">
        <v>80</v>
      </c>
      <c r="D9" s="8">
        <v>100</v>
      </c>
      <c r="E9" s="8">
        <v>500000</v>
      </c>
      <c r="F9" t="s">
        <v>124</v>
      </c>
      <c r="G9" s="8">
        <v>20</v>
      </c>
    </row>
    <row r="10" spans="1:7" x14ac:dyDescent="0.25">
      <c r="A10" t="s">
        <v>511</v>
      </c>
      <c r="B10" s="8">
        <v>1</v>
      </c>
      <c r="C10" s="8">
        <v>20</v>
      </c>
      <c r="D10" s="8">
        <v>40</v>
      </c>
      <c r="E10" s="8">
        <v>10000</v>
      </c>
      <c r="F10" t="s">
        <v>124</v>
      </c>
      <c r="G10" s="8">
        <v>5</v>
      </c>
    </row>
    <row r="11" spans="1:7" x14ac:dyDescent="0.25">
      <c r="A11" t="s">
        <v>511</v>
      </c>
      <c r="B11" s="8">
        <v>2</v>
      </c>
      <c r="C11" s="8">
        <v>40</v>
      </c>
      <c r="D11" s="8">
        <v>60</v>
      </c>
      <c r="E11" s="8">
        <v>50000</v>
      </c>
      <c r="F11" t="s">
        <v>124</v>
      </c>
      <c r="G11" s="8">
        <v>10</v>
      </c>
    </row>
    <row r="12" spans="1:7" x14ac:dyDescent="0.25">
      <c r="A12" t="s">
        <v>511</v>
      </c>
      <c r="B12" s="8">
        <v>3</v>
      </c>
      <c r="C12" s="8">
        <v>60</v>
      </c>
      <c r="D12" s="8">
        <v>80</v>
      </c>
      <c r="E12" s="8">
        <v>200000</v>
      </c>
      <c r="F12" t="s">
        <v>124</v>
      </c>
      <c r="G12" s="8">
        <v>15</v>
      </c>
    </row>
    <row r="13" spans="1:7" x14ac:dyDescent="0.25">
      <c r="A13" t="s">
        <v>511</v>
      </c>
      <c r="B13" s="8">
        <v>4</v>
      </c>
      <c r="C13" s="8">
        <v>80</v>
      </c>
      <c r="D13" s="8">
        <v>100</v>
      </c>
      <c r="E13" s="8">
        <v>500000</v>
      </c>
      <c r="F13" t="s">
        <v>124</v>
      </c>
      <c r="G13" s="8">
        <v>20</v>
      </c>
    </row>
    <row r="14" spans="1:7" x14ac:dyDescent="0.25">
      <c r="A14" s="12" t="s">
        <v>512</v>
      </c>
      <c r="B14" s="8">
        <v>1</v>
      </c>
      <c r="C14" s="8">
        <v>20</v>
      </c>
      <c r="D14" s="8">
        <v>40</v>
      </c>
      <c r="E14" s="8">
        <v>10000</v>
      </c>
      <c r="F14" t="s">
        <v>124</v>
      </c>
      <c r="G14" s="8">
        <v>5</v>
      </c>
    </row>
    <row r="15" spans="1:7" x14ac:dyDescent="0.25">
      <c r="A15" s="12" t="s">
        <v>512</v>
      </c>
      <c r="B15" s="8">
        <v>2</v>
      </c>
      <c r="C15" s="8">
        <v>40</v>
      </c>
      <c r="D15" s="8">
        <v>60</v>
      </c>
      <c r="E15" s="8">
        <v>50000</v>
      </c>
      <c r="F15" t="s">
        <v>124</v>
      </c>
      <c r="G15" s="8">
        <v>10</v>
      </c>
    </row>
    <row r="16" spans="1:7" x14ac:dyDescent="0.25">
      <c r="A16" s="12" t="s">
        <v>512</v>
      </c>
      <c r="B16" s="8">
        <v>3</v>
      </c>
      <c r="C16" s="8">
        <v>60</v>
      </c>
      <c r="D16" s="8">
        <v>80</v>
      </c>
      <c r="E16" s="8">
        <v>200000</v>
      </c>
      <c r="F16" t="s">
        <v>124</v>
      </c>
      <c r="G16" s="8">
        <v>15</v>
      </c>
    </row>
    <row r="17" spans="1:7" x14ac:dyDescent="0.25">
      <c r="A17" s="12" t="s">
        <v>512</v>
      </c>
      <c r="B17" s="8">
        <v>4</v>
      </c>
      <c r="C17" s="8">
        <v>80</v>
      </c>
      <c r="D17" s="8">
        <v>100</v>
      </c>
      <c r="E17" s="8">
        <v>500000</v>
      </c>
      <c r="F17" t="s">
        <v>124</v>
      </c>
      <c r="G17" s="8">
        <v>20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Item_Master</vt:lpstr>
      <vt:lpstr>Item_Detail</vt:lpstr>
      <vt:lpstr>Weapon</vt:lpstr>
      <vt:lpstr>Armor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2026-04-01T15:47:33Z</dcterms:modified>
</cp:coreProperties>
</file>