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tyUdeme\MyTemplate\MyTemplate\Tool\data\"/>
    </mc:Choice>
  </mc:AlternateContent>
  <bookViews>
    <workbookView xWindow="0" yWindow="0" windowWidth="22260" windowHeight="12645" firstSheet="8" activeTab="10"/>
  </bookViews>
  <sheets>
    <sheet name="Item_Master" sheetId="1" r:id="rId1"/>
    <sheet name="Item_Detail" sheetId="2" r:id="rId2"/>
    <sheet name="Weapon" sheetId="3" r:id="rId3"/>
    <sheet name="Passives" sheetId="4" r:id="rId4"/>
    <sheet name="StaticModifiers" sheetId="5" r:id="rId5"/>
    <sheet name="CombatEvents" sheetId="6" r:id="rId6"/>
    <sheet name="EffectConfig" sheetId="7" r:id="rId7"/>
    <sheet name="Armor" sheetId="8" r:id="rId8"/>
    <sheet name="SubstatPool" sheetId="9" r:id="rId9"/>
    <sheet name="SetBonusConfig" sheetId="10" r:id="rId10"/>
    <sheet name="Character" sheetId="11" r:id="rId11"/>
    <sheet name="CharacterStat" sheetId="12" r:id="rId12"/>
    <sheet name="SkillConfig" sheetId="13" r:id="rId13"/>
    <sheet name="CharacterUpgrade" sheetId="14" r:id="rId14"/>
    <sheet name="CharacterAttribute" sheetId="15" r:id="rId15"/>
    <sheet name="ExpCurvesConfig" sheetId="16" r:id="rId16"/>
    <sheet name="AscensionConfig" sheetId="17" r:id="rId17"/>
    <sheet name="StarUp" sheetId="18" r:id="rId18"/>
    <sheet name="BattleConfig" sheetId="19" r:id="rId19"/>
    <sheet name="StageEnemies" sheetId="20" r:id="rId20"/>
    <sheet name="RewardConfig" sheetId="21" r:id="rId21"/>
    <sheet name="Stat_Matrix" sheetId="22" r:id="rId22"/>
  </sheets>
  <definedNames>
    <definedName name="_xlnm._FilterDatabase" localSheetId="0" hidden="1">Item_Master!$A$1:$A$127</definedName>
  </definedNames>
  <calcPr calcId="162913"/>
</workbook>
</file>

<file path=xl/calcChain.xml><?xml version="1.0" encoding="utf-8"?>
<calcChain xmlns="http://schemas.openxmlformats.org/spreadsheetml/2006/main">
  <c r="E101" i="16" l="1"/>
  <c r="I101" i="16" s="1"/>
  <c r="D101" i="16"/>
  <c r="H101" i="16" s="1"/>
  <c r="C101" i="16"/>
  <c r="G101" i="16" s="1"/>
  <c r="B101" i="16"/>
  <c r="G100" i="16"/>
  <c r="E100" i="16"/>
  <c r="I100" i="16" s="1"/>
  <c r="D100" i="16"/>
  <c r="H100" i="16" s="1"/>
  <c r="C100" i="16"/>
  <c r="B100" i="16"/>
  <c r="F100" i="16" s="1"/>
  <c r="E99" i="16"/>
  <c r="I99" i="16" s="1"/>
  <c r="D99" i="16"/>
  <c r="H99" i="16" s="1"/>
  <c r="C99" i="16"/>
  <c r="G99" i="16" s="1"/>
  <c r="B99" i="16"/>
  <c r="F99" i="16" s="1"/>
  <c r="G98" i="16"/>
  <c r="E98" i="16"/>
  <c r="I98" i="16" s="1"/>
  <c r="D98" i="16"/>
  <c r="H98" i="16" s="1"/>
  <c r="C98" i="16"/>
  <c r="B98" i="16"/>
  <c r="F98" i="16" s="1"/>
  <c r="E97" i="16"/>
  <c r="I97" i="16" s="1"/>
  <c r="D97" i="16"/>
  <c r="H97" i="16" s="1"/>
  <c r="C97" i="16"/>
  <c r="G97" i="16" s="1"/>
  <c r="B97" i="16"/>
  <c r="G96" i="16"/>
  <c r="E96" i="16"/>
  <c r="I96" i="16" s="1"/>
  <c r="D96" i="16"/>
  <c r="H96" i="16" s="1"/>
  <c r="C96" i="16"/>
  <c r="B96" i="16"/>
  <c r="F96" i="16" s="1"/>
  <c r="E95" i="16"/>
  <c r="I95" i="16" s="1"/>
  <c r="D95" i="16"/>
  <c r="H95" i="16" s="1"/>
  <c r="C95" i="16"/>
  <c r="G95" i="16" s="1"/>
  <c r="B95" i="16"/>
  <c r="F95" i="16" s="1"/>
  <c r="G94" i="16"/>
  <c r="E94" i="16"/>
  <c r="I94" i="16" s="1"/>
  <c r="D94" i="16"/>
  <c r="H94" i="16" s="1"/>
  <c r="C94" i="16"/>
  <c r="B94" i="16"/>
  <c r="F94" i="16" s="1"/>
  <c r="E93" i="16"/>
  <c r="I93" i="16" s="1"/>
  <c r="D93" i="16"/>
  <c r="H93" i="16" s="1"/>
  <c r="C93" i="16"/>
  <c r="G93" i="16" s="1"/>
  <c r="B93" i="16"/>
  <c r="G92" i="16"/>
  <c r="E92" i="16"/>
  <c r="I92" i="16" s="1"/>
  <c r="D92" i="16"/>
  <c r="H92" i="16" s="1"/>
  <c r="C92" i="16"/>
  <c r="B92" i="16"/>
  <c r="F92" i="16" s="1"/>
  <c r="E91" i="16"/>
  <c r="I91" i="16" s="1"/>
  <c r="D91" i="16"/>
  <c r="H91" i="16" s="1"/>
  <c r="C91" i="16"/>
  <c r="G91" i="16" s="1"/>
  <c r="B91" i="16"/>
  <c r="G90" i="16"/>
  <c r="E90" i="16"/>
  <c r="I90" i="16" s="1"/>
  <c r="D90" i="16"/>
  <c r="H90" i="16" s="1"/>
  <c r="C90" i="16"/>
  <c r="B90" i="16"/>
  <c r="F90" i="16" s="1"/>
  <c r="E89" i="16"/>
  <c r="I89" i="16" s="1"/>
  <c r="D89" i="16"/>
  <c r="H89" i="16" s="1"/>
  <c r="C89" i="16"/>
  <c r="G89" i="16" s="1"/>
  <c r="B89" i="16"/>
  <c r="G88" i="16"/>
  <c r="E88" i="16"/>
  <c r="I88" i="16" s="1"/>
  <c r="D88" i="16"/>
  <c r="H88" i="16" s="1"/>
  <c r="C88" i="16"/>
  <c r="B88" i="16"/>
  <c r="F88" i="16" s="1"/>
  <c r="E87" i="16"/>
  <c r="I87" i="16" s="1"/>
  <c r="D87" i="16"/>
  <c r="H87" i="16" s="1"/>
  <c r="C87" i="16"/>
  <c r="G87" i="16" s="1"/>
  <c r="B87" i="16"/>
  <c r="G86" i="16"/>
  <c r="E86" i="16"/>
  <c r="I86" i="16" s="1"/>
  <c r="D86" i="16"/>
  <c r="H86" i="16" s="1"/>
  <c r="C86" i="16"/>
  <c r="B86" i="16"/>
  <c r="F86" i="16" s="1"/>
  <c r="E85" i="16"/>
  <c r="I85" i="16" s="1"/>
  <c r="D85" i="16"/>
  <c r="H85" i="16" s="1"/>
  <c r="C85" i="16"/>
  <c r="G85" i="16" s="1"/>
  <c r="B85" i="16"/>
  <c r="F85" i="16" s="1"/>
  <c r="G84" i="16"/>
  <c r="E84" i="16"/>
  <c r="I84" i="16" s="1"/>
  <c r="D84" i="16"/>
  <c r="H84" i="16" s="1"/>
  <c r="C84" i="16"/>
  <c r="B84" i="16"/>
  <c r="F84" i="16" s="1"/>
  <c r="E83" i="16"/>
  <c r="I83" i="16" s="1"/>
  <c r="D83" i="16"/>
  <c r="H83" i="16" s="1"/>
  <c r="C83" i="16"/>
  <c r="G83" i="16" s="1"/>
  <c r="B83" i="16"/>
  <c r="G82" i="16"/>
  <c r="E82" i="16"/>
  <c r="I82" i="16" s="1"/>
  <c r="D82" i="16"/>
  <c r="H82" i="16" s="1"/>
  <c r="C82" i="16"/>
  <c r="B82" i="16"/>
  <c r="F82" i="16" s="1"/>
  <c r="E81" i="16"/>
  <c r="I81" i="16" s="1"/>
  <c r="D81" i="16"/>
  <c r="H81" i="16" s="1"/>
  <c r="C81" i="16"/>
  <c r="G81" i="16" s="1"/>
  <c r="B81" i="16"/>
  <c r="F81" i="16" s="1"/>
  <c r="G80" i="16"/>
  <c r="E80" i="16"/>
  <c r="I80" i="16" s="1"/>
  <c r="D80" i="16"/>
  <c r="H80" i="16" s="1"/>
  <c r="C80" i="16"/>
  <c r="B80" i="16"/>
  <c r="F80" i="16" s="1"/>
  <c r="E79" i="16"/>
  <c r="I79" i="16" s="1"/>
  <c r="D79" i="16"/>
  <c r="H79" i="16" s="1"/>
  <c r="C79" i="16"/>
  <c r="G79" i="16" s="1"/>
  <c r="B79" i="16"/>
  <c r="G78" i="16"/>
  <c r="E78" i="16"/>
  <c r="I78" i="16" s="1"/>
  <c r="D78" i="16"/>
  <c r="H78" i="16" s="1"/>
  <c r="C78" i="16"/>
  <c r="B78" i="16"/>
  <c r="F78" i="16" s="1"/>
  <c r="E77" i="16"/>
  <c r="I77" i="16" s="1"/>
  <c r="D77" i="16"/>
  <c r="H77" i="16" s="1"/>
  <c r="C77" i="16"/>
  <c r="G77" i="16" s="1"/>
  <c r="B77" i="16"/>
  <c r="F77" i="16" s="1"/>
  <c r="G76" i="16"/>
  <c r="E76" i="16"/>
  <c r="I76" i="16" s="1"/>
  <c r="D76" i="16"/>
  <c r="H76" i="16" s="1"/>
  <c r="C76" i="16"/>
  <c r="B76" i="16"/>
  <c r="F76" i="16" s="1"/>
  <c r="E75" i="16"/>
  <c r="I75" i="16" s="1"/>
  <c r="D75" i="16"/>
  <c r="H75" i="16" s="1"/>
  <c r="C75" i="16"/>
  <c r="G75" i="16" s="1"/>
  <c r="B75" i="16"/>
  <c r="G74" i="16"/>
  <c r="E74" i="16"/>
  <c r="I74" i="16" s="1"/>
  <c r="D74" i="16"/>
  <c r="H74" i="16" s="1"/>
  <c r="C74" i="16"/>
  <c r="B74" i="16"/>
  <c r="F74" i="16" s="1"/>
  <c r="E73" i="16"/>
  <c r="I73" i="16" s="1"/>
  <c r="D73" i="16"/>
  <c r="H73" i="16" s="1"/>
  <c r="C73" i="16"/>
  <c r="G73" i="16" s="1"/>
  <c r="B73" i="16"/>
  <c r="G72" i="16"/>
  <c r="E72" i="16"/>
  <c r="I72" i="16" s="1"/>
  <c r="D72" i="16"/>
  <c r="H72" i="16" s="1"/>
  <c r="C72" i="16"/>
  <c r="B72" i="16"/>
  <c r="F72" i="16" s="1"/>
  <c r="E71" i="16"/>
  <c r="I71" i="16" s="1"/>
  <c r="D71" i="16"/>
  <c r="H71" i="16" s="1"/>
  <c r="C71" i="16"/>
  <c r="G71" i="16" s="1"/>
  <c r="B71" i="16"/>
  <c r="G70" i="16"/>
  <c r="E70" i="16"/>
  <c r="I70" i="16" s="1"/>
  <c r="D70" i="16"/>
  <c r="H70" i="16" s="1"/>
  <c r="C70" i="16"/>
  <c r="B70" i="16"/>
  <c r="F70" i="16" s="1"/>
  <c r="E69" i="16"/>
  <c r="I69" i="16" s="1"/>
  <c r="D69" i="16"/>
  <c r="H69" i="16" s="1"/>
  <c r="C69" i="16"/>
  <c r="G69" i="16" s="1"/>
  <c r="B69" i="16"/>
  <c r="G68" i="16"/>
  <c r="E68" i="16"/>
  <c r="I68" i="16" s="1"/>
  <c r="D68" i="16"/>
  <c r="H68" i="16" s="1"/>
  <c r="C68" i="16"/>
  <c r="B68" i="16"/>
  <c r="F68" i="16" s="1"/>
  <c r="E67" i="16"/>
  <c r="I67" i="16" s="1"/>
  <c r="D67" i="16"/>
  <c r="H67" i="16" s="1"/>
  <c r="C67" i="16"/>
  <c r="G67" i="16" s="1"/>
  <c r="B67" i="16"/>
  <c r="F67" i="16" s="1"/>
  <c r="G66" i="16"/>
  <c r="E66" i="16"/>
  <c r="I66" i="16" s="1"/>
  <c r="D66" i="16"/>
  <c r="H66" i="16" s="1"/>
  <c r="C66" i="16"/>
  <c r="B66" i="16"/>
  <c r="F66" i="16" s="1"/>
  <c r="E65" i="16"/>
  <c r="I65" i="16" s="1"/>
  <c r="D65" i="16"/>
  <c r="H65" i="16" s="1"/>
  <c r="C65" i="16"/>
  <c r="G65" i="16" s="1"/>
  <c r="B65" i="16"/>
  <c r="F65" i="16" s="1"/>
  <c r="G64" i="16"/>
  <c r="E64" i="16"/>
  <c r="I64" i="16" s="1"/>
  <c r="D64" i="16"/>
  <c r="H64" i="16" s="1"/>
  <c r="C64" i="16"/>
  <c r="B64" i="16"/>
  <c r="F64" i="16" s="1"/>
  <c r="E63" i="16"/>
  <c r="I63" i="16" s="1"/>
  <c r="D63" i="16"/>
  <c r="H63" i="16" s="1"/>
  <c r="C63" i="16"/>
  <c r="G63" i="16" s="1"/>
  <c r="B63" i="16"/>
  <c r="F63" i="16" s="1"/>
  <c r="G62" i="16"/>
  <c r="E62" i="16"/>
  <c r="I62" i="16" s="1"/>
  <c r="D62" i="16"/>
  <c r="H62" i="16" s="1"/>
  <c r="C62" i="16"/>
  <c r="B62" i="16"/>
  <c r="F62" i="16" s="1"/>
  <c r="E61" i="16"/>
  <c r="I61" i="16" s="1"/>
  <c r="D61" i="16"/>
  <c r="H61" i="16" s="1"/>
  <c r="C61" i="16"/>
  <c r="G61" i="16" s="1"/>
  <c r="B61" i="16"/>
  <c r="G60" i="16"/>
  <c r="E60" i="16"/>
  <c r="I60" i="16" s="1"/>
  <c r="D60" i="16"/>
  <c r="H60" i="16" s="1"/>
  <c r="C60" i="16"/>
  <c r="B60" i="16"/>
  <c r="F60" i="16" s="1"/>
  <c r="E59" i="16"/>
  <c r="I59" i="16" s="1"/>
  <c r="D59" i="16"/>
  <c r="H59" i="16" s="1"/>
  <c r="C59" i="16"/>
  <c r="G59" i="16" s="1"/>
  <c r="B59" i="16"/>
  <c r="G58" i="16"/>
  <c r="E58" i="16"/>
  <c r="I58" i="16" s="1"/>
  <c r="D58" i="16"/>
  <c r="H58" i="16" s="1"/>
  <c r="C58" i="16"/>
  <c r="B58" i="16"/>
  <c r="F58" i="16" s="1"/>
  <c r="E57" i="16"/>
  <c r="I57" i="16" s="1"/>
  <c r="D57" i="16"/>
  <c r="H57" i="16" s="1"/>
  <c r="C57" i="16"/>
  <c r="G57" i="16" s="1"/>
  <c r="B57" i="16"/>
  <c r="G56" i="16"/>
  <c r="E56" i="16"/>
  <c r="I56" i="16" s="1"/>
  <c r="D56" i="16"/>
  <c r="H56" i="16" s="1"/>
  <c r="C56" i="16"/>
  <c r="B56" i="16"/>
  <c r="F56" i="16" s="1"/>
  <c r="E55" i="16"/>
  <c r="I55" i="16" s="1"/>
  <c r="D55" i="16"/>
  <c r="H55" i="16" s="1"/>
  <c r="C55" i="16"/>
  <c r="G55" i="16" s="1"/>
  <c r="B55" i="16"/>
  <c r="G54" i="16"/>
  <c r="E54" i="16"/>
  <c r="I54" i="16" s="1"/>
  <c r="D54" i="16"/>
  <c r="H54" i="16" s="1"/>
  <c r="C54" i="16"/>
  <c r="B54" i="16"/>
  <c r="F54" i="16" s="1"/>
  <c r="E53" i="16"/>
  <c r="I53" i="16" s="1"/>
  <c r="D53" i="16"/>
  <c r="H53" i="16" s="1"/>
  <c r="C53" i="16"/>
  <c r="G53" i="16" s="1"/>
  <c r="B53" i="16"/>
  <c r="F53" i="16" s="1"/>
  <c r="G52" i="16"/>
  <c r="E52" i="16"/>
  <c r="I52" i="16" s="1"/>
  <c r="D52" i="16"/>
  <c r="H52" i="16" s="1"/>
  <c r="C52" i="16"/>
  <c r="B52" i="16"/>
  <c r="F52" i="16" s="1"/>
  <c r="E51" i="16"/>
  <c r="I51" i="16" s="1"/>
  <c r="D51" i="16"/>
  <c r="H51" i="16" s="1"/>
  <c r="C51" i="16"/>
  <c r="G51" i="16" s="1"/>
  <c r="B51" i="16"/>
  <c r="F51" i="16" s="1"/>
  <c r="G50" i="16"/>
  <c r="E50" i="16"/>
  <c r="I50" i="16" s="1"/>
  <c r="D50" i="16"/>
  <c r="H50" i="16" s="1"/>
  <c r="C50" i="16"/>
  <c r="B50" i="16"/>
  <c r="F50" i="16" s="1"/>
  <c r="E49" i="16"/>
  <c r="I49" i="16" s="1"/>
  <c r="D49" i="16"/>
  <c r="H49" i="16" s="1"/>
  <c r="C49" i="16"/>
  <c r="G49" i="16" s="1"/>
  <c r="B49" i="16"/>
  <c r="F49" i="16" s="1"/>
  <c r="G48" i="16"/>
  <c r="E48" i="16"/>
  <c r="I48" i="16" s="1"/>
  <c r="D48" i="16"/>
  <c r="H48" i="16" s="1"/>
  <c r="C48" i="16"/>
  <c r="B48" i="16"/>
  <c r="F48" i="16" s="1"/>
  <c r="E47" i="16"/>
  <c r="I47" i="16" s="1"/>
  <c r="D47" i="16"/>
  <c r="H47" i="16" s="1"/>
  <c r="C47" i="16"/>
  <c r="G47" i="16" s="1"/>
  <c r="B47" i="16"/>
  <c r="G46" i="16"/>
  <c r="E46" i="16"/>
  <c r="I46" i="16" s="1"/>
  <c r="D46" i="16"/>
  <c r="H46" i="16" s="1"/>
  <c r="C46" i="16"/>
  <c r="B46" i="16"/>
  <c r="F46" i="16" s="1"/>
  <c r="E45" i="16"/>
  <c r="I45" i="16" s="1"/>
  <c r="D45" i="16"/>
  <c r="H45" i="16" s="1"/>
  <c r="C45" i="16"/>
  <c r="G45" i="16" s="1"/>
  <c r="B45" i="16"/>
  <c r="F45" i="16" s="1"/>
  <c r="G44" i="16"/>
  <c r="E44" i="16"/>
  <c r="I44" i="16" s="1"/>
  <c r="D44" i="16"/>
  <c r="H44" i="16" s="1"/>
  <c r="C44" i="16"/>
  <c r="B44" i="16"/>
  <c r="F44" i="16" s="1"/>
  <c r="E43" i="16"/>
  <c r="I43" i="16" s="1"/>
  <c r="D43" i="16"/>
  <c r="H43" i="16" s="1"/>
  <c r="C43" i="16"/>
  <c r="G43" i="16" s="1"/>
  <c r="B43" i="16"/>
  <c r="G42" i="16"/>
  <c r="E42" i="16"/>
  <c r="I42" i="16" s="1"/>
  <c r="D42" i="16"/>
  <c r="H42" i="16" s="1"/>
  <c r="C42" i="16"/>
  <c r="B42" i="16"/>
  <c r="F42" i="16" s="1"/>
  <c r="E41" i="16"/>
  <c r="I41" i="16" s="1"/>
  <c r="D41" i="16"/>
  <c r="H41" i="16" s="1"/>
  <c r="C41" i="16"/>
  <c r="G41" i="16" s="1"/>
  <c r="B41" i="16"/>
  <c r="G40" i="16"/>
  <c r="E40" i="16"/>
  <c r="I40" i="16" s="1"/>
  <c r="D40" i="16"/>
  <c r="H40" i="16" s="1"/>
  <c r="C40" i="16"/>
  <c r="B40" i="16"/>
  <c r="F40" i="16" s="1"/>
  <c r="E39" i="16"/>
  <c r="I39" i="16" s="1"/>
  <c r="D39" i="16"/>
  <c r="H39" i="16" s="1"/>
  <c r="C39" i="16"/>
  <c r="G39" i="16" s="1"/>
  <c r="B39" i="16"/>
  <c r="G38" i="16"/>
  <c r="E38" i="16"/>
  <c r="I38" i="16" s="1"/>
  <c r="D38" i="16"/>
  <c r="H38" i="16" s="1"/>
  <c r="C38" i="16"/>
  <c r="B38" i="16"/>
  <c r="F38" i="16" s="1"/>
  <c r="E37" i="16"/>
  <c r="I37" i="16" s="1"/>
  <c r="D37" i="16"/>
  <c r="H37" i="16" s="1"/>
  <c r="C37" i="16"/>
  <c r="G37" i="16" s="1"/>
  <c r="B37" i="16"/>
  <c r="G36" i="16"/>
  <c r="E36" i="16"/>
  <c r="I36" i="16" s="1"/>
  <c r="D36" i="16"/>
  <c r="H36" i="16" s="1"/>
  <c r="C36" i="16"/>
  <c r="B36" i="16"/>
  <c r="F36" i="16" s="1"/>
  <c r="E35" i="16"/>
  <c r="I35" i="16" s="1"/>
  <c r="D35" i="16"/>
  <c r="H35" i="16" s="1"/>
  <c r="C35" i="16"/>
  <c r="G35" i="16" s="1"/>
  <c r="B35" i="16"/>
  <c r="F35" i="16" s="1"/>
  <c r="G34" i="16"/>
  <c r="E34" i="16"/>
  <c r="I34" i="16" s="1"/>
  <c r="D34" i="16"/>
  <c r="H34" i="16" s="1"/>
  <c r="C34" i="16"/>
  <c r="B34" i="16"/>
  <c r="F34" i="16" s="1"/>
  <c r="E33" i="16"/>
  <c r="I33" i="16" s="1"/>
  <c r="D33" i="16"/>
  <c r="H33" i="16" s="1"/>
  <c r="C33" i="16"/>
  <c r="G33" i="16" s="1"/>
  <c r="B33" i="16"/>
  <c r="F33" i="16" s="1"/>
  <c r="G32" i="16"/>
  <c r="E32" i="16"/>
  <c r="I32" i="16" s="1"/>
  <c r="D32" i="16"/>
  <c r="H32" i="16" s="1"/>
  <c r="C32" i="16"/>
  <c r="B32" i="16"/>
  <c r="F32" i="16" s="1"/>
  <c r="E31" i="16"/>
  <c r="I31" i="16" s="1"/>
  <c r="D31" i="16"/>
  <c r="H31" i="16" s="1"/>
  <c r="C31" i="16"/>
  <c r="G31" i="16" s="1"/>
  <c r="B31" i="16"/>
  <c r="F31" i="16" s="1"/>
  <c r="G30" i="16"/>
  <c r="E30" i="16"/>
  <c r="I30" i="16" s="1"/>
  <c r="D30" i="16"/>
  <c r="H30" i="16" s="1"/>
  <c r="C30" i="16"/>
  <c r="B30" i="16"/>
  <c r="F30" i="16" s="1"/>
  <c r="E29" i="16"/>
  <c r="I29" i="16" s="1"/>
  <c r="D29" i="16"/>
  <c r="H29" i="16" s="1"/>
  <c r="C29" i="16"/>
  <c r="G29" i="16" s="1"/>
  <c r="B29" i="16"/>
  <c r="G28" i="16"/>
  <c r="E28" i="16"/>
  <c r="I28" i="16" s="1"/>
  <c r="D28" i="16"/>
  <c r="H28" i="16" s="1"/>
  <c r="C28" i="16"/>
  <c r="B28" i="16"/>
  <c r="F28" i="16" s="1"/>
  <c r="E27" i="16"/>
  <c r="I27" i="16" s="1"/>
  <c r="D27" i="16"/>
  <c r="H27" i="16" s="1"/>
  <c r="C27" i="16"/>
  <c r="G27" i="16" s="1"/>
  <c r="B27" i="16"/>
  <c r="G26" i="16"/>
  <c r="E26" i="16"/>
  <c r="I26" i="16" s="1"/>
  <c r="D26" i="16"/>
  <c r="H26" i="16" s="1"/>
  <c r="C26" i="16"/>
  <c r="B26" i="16"/>
  <c r="F26" i="16" s="1"/>
  <c r="E25" i="16"/>
  <c r="I25" i="16" s="1"/>
  <c r="D25" i="16"/>
  <c r="H25" i="16" s="1"/>
  <c r="C25" i="16"/>
  <c r="G25" i="16" s="1"/>
  <c r="B25" i="16"/>
  <c r="G24" i="16"/>
  <c r="E24" i="16"/>
  <c r="I24" i="16" s="1"/>
  <c r="D24" i="16"/>
  <c r="H24" i="16" s="1"/>
  <c r="C24" i="16"/>
  <c r="B24" i="16"/>
  <c r="F24" i="16" s="1"/>
  <c r="E23" i="16"/>
  <c r="I23" i="16" s="1"/>
  <c r="D23" i="16"/>
  <c r="H23" i="16" s="1"/>
  <c r="C23" i="16"/>
  <c r="G23" i="16" s="1"/>
  <c r="B23" i="16"/>
  <c r="G22" i="16"/>
  <c r="E22" i="16"/>
  <c r="I22" i="16" s="1"/>
  <c r="D22" i="16"/>
  <c r="H22" i="16" s="1"/>
  <c r="C22" i="16"/>
  <c r="B22" i="16"/>
  <c r="F22" i="16" s="1"/>
  <c r="E21" i="16"/>
  <c r="I21" i="16" s="1"/>
  <c r="D21" i="16"/>
  <c r="H21" i="16" s="1"/>
  <c r="C21" i="16"/>
  <c r="G21" i="16" s="1"/>
  <c r="B21" i="16"/>
  <c r="F21" i="16" s="1"/>
  <c r="G20" i="16"/>
  <c r="E20" i="16"/>
  <c r="I20" i="16" s="1"/>
  <c r="D20" i="16"/>
  <c r="H20" i="16" s="1"/>
  <c r="C20" i="16"/>
  <c r="B20" i="16"/>
  <c r="F20" i="16" s="1"/>
  <c r="E19" i="16"/>
  <c r="I19" i="16" s="1"/>
  <c r="D19" i="16"/>
  <c r="H19" i="16" s="1"/>
  <c r="C19" i="16"/>
  <c r="G19" i="16" s="1"/>
  <c r="B19" i="16"/>
  <c r="F19" i="16" s="1"/>
  <c r="G18" i="16"/>
  <c r="E18" i="16"/>
  <c r="I18" i="16" s="1"/>
  <c r="D18" i="16"/>
  <c r="H18" i="16" s="1"/>
  <c r="C18" i="16"/>
  <c r="B18" i="16"/>
  <c r="F18" i="16" s="1"/>
  <c r="E17" i="16"/>
  <c r="I17" i="16" s="1"/>
  <c r="D17" i="16"/>
  <c r="H17" i="16" s="1"/>
  <c r="C17" i="16"/>
  <c r="G17" i="16" s="1"/>
  <c r="B17" i="16"/>
  <c r="F17" i="16" s="1"/>
  <c r="G16" i="16"/>
  <c r="E16" i="16"/>
  <c r="I16" i="16" s="1"/>
  <c r="D16" i="16"/>
  <c r="H16" i="16" s="1"/>
  <c r="C16" i="16"/>
  <c r="B16" i="16"/>
  <c r="F16" i="16" s="1"/>
  <c r="E15" i="16"/>
  <c r="I15" i="16" s="1"/>
  <c r="D15" i="16"/>
  <c r="H15" i="16" s="1"/>
  <c r="C15" i="16"/>
  <c r="G15" i="16" s="1"/>
  <c r="B15" i="16"/>
  <c r="G14" i="16"/>
  <c r="E14" i="16"/>
  <c r="I14" i="16" s="1"/>
  <c r="D14" i="16"/>
  <c r="H14" i="16" s="1"/>
  <c r="C14" i="16"/>
  <c r="B14" i="16"/>
  <c r="E13" i="16"/>
  <c r="I13" i="16" s="1"/>
  <c r="D13" i="16"/>
  <c r="H13" i="16" s="1"/>
  <c r="C13" i="16"/>
  <c r="G13" i="16" s="1"/>
  <c r="B13" i="16"/>
  <c r="F13" i="16" s="1"/>
  <c r="G12" i="16"/>
  <c r="E12" i="16"/>
  <c r="I12" i="16" s="1"/>
  <c r="D12" i="16"/>
  <c r="H12" i="16" s="1"/>
  <c r="C12" i="16"/>
  <c r="B12" i="16"/>
  <c r="E11" i="16"/>
  <c r="I11" i="16" s="1"/>
  <c r="D11" i="16"/>
  <c r="C11" i="16"/>
  <c r="G11" i="16" s="1"/>
  <c r="B11" i="16"/>
  <c r="F11" i="16" s="1"/>
  <c r="G10" i="16"/>
  <c r="E10" i="16"/>
  <c r="I10" i="16" s="1"/>
  <c r="D10" i="16"/>
  <c r="H10" i="16" s="1"/>
  <c r="C10" i="16"/>
  <c r="B10" i="16"/>
  <c r="F10" i="16" s="1"/>
  <c r="E9" i="16"/>
  <c r="I9" i="16" s="1"/>
  <c r="D9" i="16"/>
  <c r="H9" i="16" s="1"/>
  <c r="C9" i="16"/>
  <c r="G9" i="16" s="1"/>
  <c r="B9" i="16"/>
  <c r="G8" i="16"/>
  <c r="E8" i="16"/>
  <c r="I8" i="16" s="1"/>
  <c r="D8" i="16"/>
  <c r="H8" i="16" s="1"/>
  <c r="C8" i="16"/>
  <c r="B8" i="16"/>
  <c r="F8" i="16" s="1"/>
  <c r="E7" i="16"/>
  <c r="D7" i="16"/>
  <c r="C7" i="16"/>
  <c r="G7" i="16" s="1"/>
  <c r="B7" i="16"/>
  <c r="G6" i="16"/>
  <c r="E6" i="16"/>
  <c r="I6" i="16" s="1"/>
  <c r="D6" i="16"/>
  <c r="H6" i="16" s="1"/>
  <c r="C6" i="16"/>
  <c r="B6" i="16"/>
  <c r="F6" i="16" s="1"/>
  <c r="E5" i="16"/>
  <c r="D5" i="16"/>
  <c r="C5" i="16"/>
  <c r="G5" i="16" s="1"/>
  <c r="B5" i="16"/>
  <c r="G4" i="16"/>
  <c r="E4" i="16"/>
  <c r="I4" i="16" s="1"/>
  <c r="D4" i="16"/>
  <c r="H4" i="16" s="1"/>
  <c r="C4" i="16"/>
  <c r="B4" i="16"/>
  <c r="E3" i="16"/>
  <c r="I3" i="16" s="1"/>
  <c r="D3" i="16"/>
  <c r="H3" i="16" s="1"/>
  <c r="C3" i="16"/>
  <c r="B3" i="16"/>
  <c r="F3" i="16" s="1"/>
  <c r="E2" i="16"/>
  <c r="D2" i="16"/>
  <c r="C2" i="16"/>
  <c r="B2" i="16"/>
  <c r="B4" i="14"/>
  <c r="D32" i="12"/>
  <c r="C32" i="12"/>
  <c r="B32" i="12"/>
  <c r="D31" i="12"/>
  <c r="C31" i="12"/>
  <c r="B31" i="12"/>
  <c r="J30" i="12"/>
  <c r="I30" i="12"/>
  <c r="D30" i="12"/>
  <c r="C30" i="12"/>
  <c r="H30" i="12" s="1"/>
  <c r="D30" i="14" s="1"/>
  <c r="B30" i="12"/>
  <c r="I29" i="12"/>
  <c r="D29" i="12"/>
  <c r="C29" i="12"/>
  <c r="B29" i="12"/>
  <c r="J28" i="12"/>
  <c r="I28" i="12"/>
  <c r="D28" i="12"/>
  <c r="C28" i="12"/>
  <c r="H28" i="12" s="1"/>
  <c r="D28" i="14" s="1"/>
  <c r="B28" i="12"/>
  <c r="D27" i="12"/>
  <c r="C27" i="12"/>
  <c r="B27" i="12"/>
  <c r="N26" i="12"/>
  <c r="M26" i="12"/>
  <c r="D26" i="12"/>
  <c r="C26" i="12"/>
  <c r="L26" i="12" s="1"/>
  <c r="B26" i="12"/>
  <c r="N25" i="12"/>
  <c r="L25" i="12"/>
  <c r="K25" i="12"/>
  <c r="J25" i="12"/>
  <c r="I25" i="12"/>
  <c r="D25" i="12"/>
  <c r="C25" i="12"/>
  <c r="H25" i="12" s="1"/>
  <c r="D25" i="14" s="1"/>
  <c r="B25" i="12"/>
  <c r="M24" i="12"/>
  <c r="L24" i="12"/>
  <c r="K24" i="12"/>
  <c r="J24" i="12"/>
  <c r="I24" i="12"/>
  <c r="D24" i="12"/>
  <c r="N24" i="12" s="1"/>
  <c r="C24" i="12"/>
  <c r="B24" i="12"/>
  <c r="I23" i="12"/>
  <c r="F23" i="12"/>
  <c r="B23" i="14" s="1"/>
  <c r="D23" i="12"/>
  <c r="C23" i="12"/>
  <c r="B23" i="12"/>
  <c r="M22" i="12"/>
  <c r="D22" i="12"/>
  <c r="C22" i="12"/>
  <c r="L22" i="12" s="1"/>
  <c r="B22" i="12"/>
  <c r="N21" i="12"/>
  <c r="L21" i="12"/>
  <c r="K21" i="12"/>
  <c r="J21" i="12"/>
  <c r="I21" i="12"/>
  <c r="D21" i="12"/>
  <c r="C21" i="12"/>
  <c r="H21" i="12" s="1"/>
  <c r="D21" i="14" s="1"/>
  <c r="B21" i="12"/>
  <c r="M21" i="12" s="1"/>
  <c r="M20" i="12"/>
  <c r="L20" i="12"/>
  <c r="K20" i="12"/>
  <c r="J20" i="12"/>
  <c r="I20" i="12"/>
  <c r="H20" i="12"/>
  <c r="D20" i="14" s="1"/>
  <c r="G20" i="12"/>
  <c r="C20" i="14" s="1"/>
  <c r="F20" i="12"/>
  <c r="B20" i="14" s="1"/>
  <c r="D20" i="12"/>
  <c r="N20" i="12" s="1"/>
  <c r="C20" i="12"/>
  <c r="B20" i="12"/>
  <c r="D19" i="12"/>
  <c r="C19" i="12"/>
  <c r="B19" i="12"/>
  <c r="N18" i="12"/>
  <c r="M18" i="12"/>
  <c r="D18" i="12"/>
  <c r="F18" i="12" s="1"/>
  <c r="B18" i="14" s="1"/>
  <c r="C18" i="12"/>
  <c r="L18" i="12" s="1"/>
  <c r="B18" i="12"/>
  <c r="D17" i="12"/>
  <c r="C17" i="12"/>
  <c r="B17" i="12"/>
  <c r="J16" i="12"/>
  <c r="I16" i="12"/>
  <c r="H16" i="12"/>
  <c r="D16" i="14" s="1"/>
  <c r="D16" i="12"/>
  <c r="C16" i="12"/>
  <c r="F16" i="12" s="1"/>
  <c r="B16" i="14" s="1"/>
  <c r="B16" i="12"/>
  <c r="G16" i="12" s="1"/>
  <c r="C16" i="14" s="1"/>
  <c r="H15" i="12"/>
  <c r="D15" i="14" s="1"/>
  <c r="D15" i="12"/>
  <c r="C15" i="12"/>
  <c r="J15" i="12" s="1"/>
  <c r="B15" i="12"/>
  <c r="I15" i="12" s="1"/>
  <c r="J14" i="12"/>
  <c r="I14" i="12"/>
  <c r="H14" i="12"/>
  <c r="D14" i="14" s="1"/>
  <c r="D14" i="12"/>
  <c r="C14" i="12"/>
  <c r="F14" i="12" s="1"/>
  <c r="B14" i="14" s="1"/>
  <c r="B14" i="12"/>
  <c r="G14" i="12" s="1"/>
  <c r="C14" i="14" s="1"/>
  <c r="D13" i="12"/>
  <c r="C13" i="12"/>
  <c r="B13" i="12"/>
  <c r="I13" i="12" s="1"/>
  <c r="J12" i="12"/>
  <c r="I12" i="12"/>
  <c r="H12" i="12"/>
  <c r="D12" i="14" s="1"/>
  <c r="D12" i="12"/>
  <c r="C12" i="12"/>
  <c r="F12" i="12" s="1"/>
  <c r="B12" i="14" s="1"/>
  <c r="B12" i="12"/>
  <c r="G12" i="12" s="1"/>
  <c r="C12" i="14" s="1"/>
  <c r="D11" i="12"/>
  <c r="C11" i="12"/>
  <c r="I11" i="12" s="1"/>
  <c r="B11" i="12"/>
  <c r="D10" i="12"/>
  <c r="C10" i="12"/>
  <c r="B10" i="12"/>
  <c r="N9" i="12"/>
  <c r="M9" i="12"/>
  <c r="L9" i="12"/>
  <c r="K9" i="12"/>
  <c r="D9" i="12"/>
  <c r="C9" i="12"/>
  <c r="B9" i="12"/>
  <c r="N8" i="12"/>
  <c r="M8" i="12"/>
  <c r="L8" i="12"/>
  <c r="K8" i="12"/>
  <c r="J8" i="12"/>
  <c r="I8" i="12"/>
  <c r="H8" i="12"/>
  <c r="D8" i="14" s="1"/>
  <c r="G8" i="12"/>
  <c r="C8" i="14" s="1"/>
  <c r="F8" i="12"/>
  <c r="B8" i="14" s="1"/>
  <c r="D8" i="12"/>
  <c r="C8" i="12"/>
  <c r="B8" i="12"/>
  <c r="D7" i="12"/>
  <c r="C7" i="12"/>
  <c r="K7" i="12" s="1"/>
  <c r="B7" i="12"/>
  <c r="D6" i="12"/>
  <c r="C6" i="12"/>
  <c r="B6" i="12"/>
  <c r="N5" i="12"/>
  <c r="M5" i="12"/>
  <c r="L5" i="12"/>
  <c r="D5" i="12"/>
  <c r="C5" i="12"/>
  <c r="B5" i="12"/>
  <c r="K5" i="12" s="1"/>
  <c r="N4" i="12"/>
  <c r="M4" i="12"/>
  <c r="L4" i="12"/>
  <c r="K4" i="12"/>
  <c r="J4" i="12"/>
  <c r="I4" i="12"/>
  <c r="H4" i="12"/>
  <c r="D4" i="14" s="1"/>
  <c r="G4" i="12"/>
  <c r="C4" i="14" s="1"/>
  <c r="F4" i="12"/>
  <c r="D4" i="12"/>
  <c r="C4" i="12"/>
  <c r="B4" i="12"/>
  <c r="D3" i="12"/>
  <c r="F3" i="12" s="1"/>
  <c r="B3" i="14" s="1"/>
  <c r="C3" i="12"/>
  <c r="K3" i="12" s="1"/>
  <c r="B3" i="12"/>
  <c r="D2" i="12"/>
  <c r="C2" i="12"/>
  <c r="G2" i="12" s="1"/>
  <c r="C2" i="14" s="1"/>
  <c r="B2" i="12"/>
  <c r="F7" i="12" l="1"/>
  <c r="B7" i="14" s="1"/>
  <c r="F11" i="12"/>
  <c r="B11" i="14" s="1"/>
  <c r="G22" i="12"/>
  <c r="C22" i="14" s="1"/>
  <c r="F22" i="12"/>
  <c r="B22" i="14" s="1"/>
  <c r="J27" i="12"/>
  <c r="H27" i="12"/>
  <c r="D27" i="14" s="1"/>
  <c r="G27" i="12"/>
  <c r="C27" i="14" s="1"/>
  <c r="G3" i="12"/>
  <c r="C3" i="14" s="1"/>
  <c r="H3" i="12"/>
  <c r="D3" i="14" s="1"/>
  <c r="N22" i="12"/>
  <c r="G3" i="16"/>
  <c r="F14" i="16"/>
  <c r="G7" i="12"/>
  <c r="C7" i="14" s="1"/>
  <c r="G11" i="12"/>
  <c r="C11" i="14" s="1"/>
  <c r="J3" i="12"/>
  <c r="I7" i="12"/>
  <c r="J9" i="12"/>
  <c r="L11" i="12"/>
  <c r="F27" i="12"/>
  <c r="B27" i="14" s="1"/>
  <c r="F7" i="16"/>
  <c r="F39" i="16"/>
  <c r="F71" i="16"/>
  <c r="I3" i="12"/>
  <c r="J5" i="12"/>
  <c r="H7" i="12"/>
  <c r="D7" i="14" s="1"/>
  <c r="J7" i="12"/>
  <c r="N23" i="12"/>
  <c r="L23" i="12"/>
  <c r="M23" i="12"/>
  <c r="K23" i="12"/>
  <c r="J23" i="12"/>
  <c r="H23" i="12"/>
  <c r="D23" i="14" s="1"/>
  <c r="G23" i="12"/>
  <c r="C23" i="14" s="1"/>
  <c r="I27" i="12"/>
  <c r="F25" i="16"/>
  <c r="F57" i="16"/>
  <c r="F89" i="16"/>
  <c r="J31" i="12"/>
  <c r="H31" i="12"/>
  <c r="D31" i="14" s="1"/>
  <c r="G31" i="12"/>
  <c r="C31" i="14" s="1"/>
  <c r="F4" i="16"/>
  <c r="H7" i="16"/>
  <c r="F43" i="16"/>
  <c r="F75" i="16"/>
  <c r="I7" i="16"/>
  <c r="F29" i="16"/>
  <c r="F61" i="16"/>
  <c r="F93" i="16"/>
  <c r="K19" i="12"/>
  <c r="J19" i="12"/>
  <c r="N19" i="12"/>
  <c r="M19" i="12"/>
  <c r="L19" i="12"/>
  <c r="H19" i="12"/>
  <c r="D19" i="14" s="1"/>
  <c r="G19" i="12"/>
  <c r="C19" i="14" s="1"/>
  <c r="F31" i="12"/>
  <c r="B31" i="14" s="1"/>
  <c r="H11" i="16"/>
  <c r="F15" i="16"/>
  <c r="F47" i="16"/>
  <c r="F79" i="16"/>
  <c r="I31" i="12"/>
  <c r="F97" i="16"/>
  <c r="F19" i="12"/>
  <c r="B19" i="14" s="1"/>
  <c r="F12" i="16"/>
  <c r="F83" i="16"/>
  <c r="N11" i="12"/>
  <c r="M11" i="12"/>
  <c r="K11" i="12"/>
  <c r="J11" i="12"/>
  <c r="H11" i="12"/>
  <c r="D11" i="14" s="1"/>
  <c r="N10" i="12"/>
  <c r="H10" i="12"/>
  <c r="D10" i="14" s="1"/>
  <c r="M10" i="12"/>
  <c r="I10" i="12"/>
  <c r="L10" i="12"/>
  <c r="J10" i="12"/>
  <c r="F10" i="12"/>
  <c r="B10" i="14" s="1"/>
  <c r="I19" i="12"/>
  <c r="F5" i="16"/>
  <c r="F37" i="16"/>
  <c r="F69" i="16"/>
  <c r="F101" i="16"/>
  <c r="N6" i="12"/>
  <c r="M6" i="12"/>
  <c r="L6" i="12"/>
  <c r="I6" i="12"/>
  <c r="K6" i="12"/>
  <c r="H6" i="12"/>
  <c r="D6" i="14" s="1"/>
  <c r="J6" i="12"/>
  <c r="F2" i="12"/>
  <c r="B2" i="14" s="1"/>
  <c r="F6" i="12"/>
  <c r="B6" i="14" s="1"/>
  <c r="J13" i="12"/>
  <c r="F24" i="12"/>
  <c r="B24" i="14" s="1"/>
  <c r="J29" i="12"/>
  <c r="H29" i="12"/>
  <c r="D29" i="14" s="1"/>
  <c r="G29" i="12"/>
  <c r="C29" i="14" s="1"/>
  <c r="F23" i="16"/>
  <c r="F55" i="16"/>
  <c r="F87" i="16"/>
  <c r="L7" i="12"/>
  <c r="M7" i="12"/>
  <c r="N7" i="12"/>
  <c r="N2" i="12"/>
  <c r="H2" i="12"/>
  <c r="D2" i="14" s="1"/>
  <c r="M2" i="12"/>
  <c r="K2" i="12"/>
  <c r="I2" i="12"/>
  <c r="L2" i="12"/>
  <c r="J2" i="12"/>
  <c r="G6" i="12"/>
  <c r="C6" i="14" s="1"/>
  <c r="G10" i="12"/>
  <c r="C10" i="14" s="1"/>
  <c r="G24" i="12"/>
  <c r="C24" i="14" s="1"/>
  <c r="H5" i="16"/>
  <c r="F9" i="16"/>
  <c r="F41" i="16"/>
  <c r="F73" i="16"/>
  <c r="M3" i="12"/>
  <c r="N3" i="12"/>
  <c r="L3" i="12"/>
  <c r="H13" i="12"/>
  <c r="D13" i="14" s="1"/>
  <c r="H24" i="12"/>
  <c r="D24" i="14" s="1"/>
  <c r="G26" i="12"/>
  <c r="C26" i="14" s="1"/>
  <c r="F26" i="12"/>
  <c r="B26" i="14" s="1"/>
  <c r="H26" i="12"/>
  <c r="D26" i="14" s="1"/>
  <c r="F29" i="12"/>
  <c r="B29" i="14" s="1"/>
  <c r="I5" i="16"/>
  <c r="F27" i="16"/>
  <c r="F59" i="16"/>
  <c r="F91" i="16"/>
  <c r="M25" i="12"/>
  <c r="F13" i="12"/>
  <c r="B13" i="14" s="1"/>
  <c r="F15" i="12"/>
  <c r="B15" i="14" s="1"/>
  <c r="G13" i="12"/>
  <c r="C13" i="14" s="1"/>
  <c r="G15" i="12"/>
  <c r="C15" i="14" s="1"/>
  <c r="F5" i="12"/>
  <c r="B5" i="14" s="1"/>
  <c r="F9" i="12"/>
  <c r="B9" i="14" s="1"/>
  <c r="G18" i="12"/>
  <c r="C18" i="14" s="1"/>
  <c r="H18" i="12"/>
  <c r="D18" i="14" s="1"/>
  <c r="G5" i="12"/>
  <c r="C5" i="14" s="1"/>
  <c r="G9" i="12"/>
  <c r="C9" i="14" s="1"/>
  <c r="I18" i="12"/>
  <c r="I22" i="12"/>
  <c r="I26" i="12"/>
  <c r="H5" i="12"/>
  <c r="D5" i="14" s="1"/>
  <c r="H9" i="12"/>
  <c r="D9" i="14" s="1"/>
  <c r="J18" i="12"/>
  <c r="F21" i="12"/>
  <c r="B21" i="14" s="1"/>
  <c r="J22" i="12"/>
  <c r="F25" i="12"/>
  <c r="B25" i="14" s="1"/>
  <c r="J26" i="12"/>
  <c r="F28" i="12"/>
  <c r="B28" i="14" s="1"/>
  <c r="F30" i="12"/>
  <c r="B30" i="14" s="1"/>
  <c r="H22" i="12"/>
  <c r="D22" i="14" s="1"/>
  <c r="I5" i="12"/>
  <c r="I9" i="12"/>
  <c r="K18" i="12"/>
  <c r="G21" i="12"/>
  <c r="C21" i="14" s="1"/>
  <c r="K22" i="12"/>
  <c r="G25" i="12"/>
  <c r="C25" i="14" s="1"/>
  <c r="K26" i="12"/>
  <c r="G28" i="12"/>
  <c r="C28" i="14" s="1"/>
  <c r="G30" i="12"/>
  <c r="C30" i="14" s="1"/>
</calcChain>
</file>

<file path=xl/sharedStrings.xml><?xml version="1.0" encoding="utf-8"?>
<sst xmlns="http://schemas.openxmlformats.org/spreadsheetml/2006/main" count="3423" uniqueCount="1070">
  <si>
    <t>ID</t>
  </si>
  <si>
    <t>Name</t>
  </si>
  <si>
    <t>Description</t>
  </si>
  <si>
    <t>UseDescription</t>
  </si>
  <si>
    <t>ItemType</t>
  </si>
  <si>
    <t>Rarity</t>
  </si>
  <si>
    <t>AtlasGroup</t>
  </si>
  <si>
    <t>Nimbus_Cudgel</t>
  </si>
  <si>
    <t>STR_NIMBUS_CUDGEL_NAME</t>
  </si>
  <si>
    <t>STR_NIMBUS_CUDGEL_DES</t>
  </si>
  <si>
    <t>STR_NIMBUS_CUDGEL_SKILL</t>
  </si>
  <si>
    <t>Weapon</t>
  </si>
  <si>
    <t>Legendary</t>
  </si>
  <si>
    <t>Triple_Edged_Blade</t>
  </si>
  <si>
    <t>STR_TRIPLE_EDGED_BLADE_NAME</t>
  </si>
  <si>
    <t>STR_TRIPLE_EDGED_BLADE_DES</t>
  </si>
  <si>
    <t>STR_TRIPLE_EDGED_BLADE_SKILL</t>
  </si>
  <si>
    <t>Vanguard_Of_Volition</t>
  </si>
  <si>
    <t>STR_VANGUARD_OF_VOLITION_NAME</t>
  </si>
  <si>
    <t>STR_VANGUARD_OF_VOLITION_DES</t>
  </si>
  <si>
    <t>STR_VANGUARD_OF_VOLITION_SKILL</t>
  </si>
  <si>
    <t>Ninefold_Staff</t>
  </si>
  <si>
    <t>STR_NINEFOLD_STAFF_NAME</t>
  </si>
  <si>
    <t>STR_NINEFOLD_STAFF_DES</t>
  </si>
  <si>
    <t>STR_NINEFOLD_STAFF_SKILL</t>
  </si>
  <si>
    <t>Rare</t>
  </si>
  <si>
    <t>Nine_ToolThed_Rake</t>
  </si>
  <si>
    <t>STR_NINE_TOOLTHED_RAKE_NAME</t>
  </si>
  <si>
    <t>STR_NINE_TOOLTHED_RAKE_DES</t>
  </si>
  <si>
    <t>STR_NINE_TOOLTHED_RAKE_SKILL</t>
  </si>
  <si>
    <t>Nimbus_Cloud</t>
  </si>
  <si>
    <t>STR_NIMBUS_CLOUD_NAME</t>
  </si>
  <si>
    <t>STR_NIMBUS_CLOUD_DES</t>
  </si>
  <si>
    <t>STR_NIMBUS_CLOUD_SKILL</t>
  </si>
  <si>
    <t>Sunburst_Spade</t>
  </si>
  <si>
    <t>STR_SUNBURST_SPADE_NAME</t>
  </si>
  <si>
    <t>STR_SUNBURST_SPADE_DES</t>
  </si>
  <si>
    <t>STR_SUNBURST_SPADE_SKILL</t>
  </si>
  <si>
    <t>Common</t>
  </si>
  <si>
    <t>Reincarnation</t>
  </si>
  <si>
    <t>STR_REINCARNATION_NAME</t>
  </si>
  <si>
    <t>STR_REINCARNATION_DES</t>
  </si>
  <si>
    <t>STR_REINCARNATION_SKILL</t>
  </si>
  <si>
    <t>Epic</t>
  </si>
  <si>
    <t>Ennead_spear</t>
  </si>
  <si>
    <t>STR_ENNEAD_SPEAR_NAME</t>
  </si>
  <si>
    <t>STR_ENNEAD_SPEAR_DES</t>
  </si>
  <si>
    <t>STR_ENNEAD_SPEAR_SKILL</t>
  </si>
  <si>
    <t>Uncommon</t>
  </si>
  <si>
    <t>Crescent_Axe</t>
  </si>
  <si>
    <t>STR_CRESCENT_AXE_NAME</t>
  </si>
  <si>
    <t>STR_CRESCENT_AXE_DES</t>
  </si>
  <si>
    <t>STR_CRESCENT_AXE_SKILL</t>
  </si>
  <si>
    <t>Bronze_Hammer</t>
  </si>
  <si>
    <t>STR_BRONZE_HAMMER_NAME</t>
  </si>
  <si>
    <t>STR_BRONZE_HAMMER_DES</t>
  </si>
  <si>
    <t>STR_BRONZE_HAMMER_SKILL</t>
  </si>
  <si>
    <t>Moonlit_Firelfy</t>
  </si>
  <si>
    <t>STR_MOONLIT_FIREFLY_NAME</t>
  </si>
  <si>
    <t>STR_MOONLIT_FIREFLY_DES</t>
  </si>
  <si>
    <t>STR_MOONLIT_FIREFLY_SKILL</t>
  </si>
  <si>
    <t>Plantain_Fan</t>
  </si>
  <si>
    <t>STR_PLANTAIN_FAN_NAME</t>
  </si>
  <si>
    <t>STR_PLANTAIN_FAN_DES</t>
  </si>
  <si>
    <t>STR_PLANTAIN_FAN_SKILL</t>
  </si>
  <si>
    <t>Wings_of_Phoenix</t>
  </si>
  <si>
    <t>STR_WINGS_OF_PHOENIX_NAME</t>
  </si>
  <si>
    <t>STR_WINGS_OF_PHOENIX_DES</t>
  </si>
  <si>
    <t>STR_WINGS_OF_PHOENIX_SKILL</t>
  </si>
  <si>
    <t>Wooden_Staff</t>
  </si>
  <si>
    <t>Windfire_Wheel</t>
  </si>
  <si>
    <t>STR_WINDFIRE_WHEEL</t>
  </si>
  <si>
    <t>STR_WINDFIRE_WHEEL_DES</t>
  </si>
  <si>
    <t>STR_WINDFIRE_WHEEL_SKILL</t>
  </si>
  <si>
    <t>LingLong_Pagoda</t>
  </si>
  <si>
    <t>STR_LINGLONG_PAGODA_NAME</t>
  </si>
  <si>
    <t>STR_LINGLONG_PAGODA_DES</t>
  </si>
  <si>
    <t>STR_LINGLONG_PAGODA_SKILL</t>
  </si>
  <si>
    <t>Ferrous_Chaos</t>
  </si>
  <si>
    <t>STR_FERROUS_CHAOS_NAME</t>
  </si>
  <si>
    <t>STR_FERROUS_CHAOS_DES</t>
  </si>
  <si>
    <t>STR_FERROUS_CHAOS_SKILL</t>
  </si>
  <si>
    <t>Lamian_Noodies</t>
  </si>
  <si>
    <t>STR_LAMIAN_NOODIES_NAME</t>
  </si>
  <si>
    <t>STR_LAMIAN_NOODIES_DES</t>
  </si>
  <si>
    <t>STR_LAMIAN_NOODIES_USEFUL</t>
  </si>
  <si>
    <t>Food</t>
  </si>
  <si>
    <t>Tofu_Soup</t>
  </si>
  <si>
    <t>STR_TOFU_SOUP_NAME</t>
  </si>
  <si>
    <t>STR_TOFU_SOUP_USEFUL</t>
  </si>
  <si>
    <t>Murshroom_Steamed_Buns</t>
  </si>
  <si>
    <t>STR_MUSHROOM_STEAMED_BUNS_NAME</t>
  </si>
  <si>
    <t>STR_MUSHROOM_STEAMED_BUNS_DES</t>
  </si>
  <si>
    <t>STR_MUSHROOM_STEAMED_BUNS_SKILL</t>
  </si>
  <si>
    <t>Fried_Radish_Balls</t>
  </si>
  <si>
    <t>STR_FRIED_RADISH_BALLS_NAME</t>
  </si>
  <si>
    <t>STR_FRIED_RADISH_BALLS_DES</t>
  </si>
  <si>
    <t>STR_FRIED_RADISH_BALLS_USEFUL</t>
  </si>
  <si>
    <t>Jade_Parcels</t>
  </si>
  <si>
    <t>STR_JADE_PARCELS_NAME</t>
  </si>
  <si>
    <t>STR_JADE_PARCELS_DES</t>
  </si>
  <si>
    <t>STR_JADE_PARCELS_USEFUL</t>
  </si>
  <si>
    <t>Shirmp_Dumplings</t>
  </si>
  <si>
    <t>STR_SHRIMP_DUMPLINGS_NAME</t>
  </si>
  <si>
    <t>STR_SHRIMP_DUMPLINGS_DES</t>
  </si>
  <si>
    <t>STR_SHRIMP_DUMPLINGS_USEFUL</t>
  </si>
  <si>
    <t>Dragon_Bread_Noodies</t>
  </si>
  <si>
    <t>STR_DRAGON_BREAD_NOODIES_NAME</t>
  </si>
  <si>
    <t>STR_DRAGON_BREAD_NOODIES_DES</t>
  </si>
  <si>
    <t>STR_DRAGON_BREAD_NOODIES_USEFUL</t>
  </si>
  <si>
    <t>Meat</t>
  </si>
  <si>
    <t>STR_MEAT_NAME</t>
  </si>
  <si>
    <t>STR_MEAT_DES</t>
  </si>
  <si>
    <t>STR_MEAT_USEFUL</t>
  </si>
  <si>
    <t>Peach</t>
  </si>
  <si>
    <t>STR_PEACH_NAME</t>
  </si>
  <si>
    <t>STR_PEACH_DES</t>
  </si>
  <si>
    <t>STR_PEACH_USEFUL</t>
  </si>
  <si>
    <t>Lotus</t>
  </si>
  <si>
    <t>STR_LOTUS_NAME</t>
  </si>
  <si>
    <t>STR_LOTUS_DES</t>
  </si>
  <si>
    <t>STR_LOTUS_USEFUL</t>
  </si>
  <si>
    <t>Coin</t>
  </si>
  <si>
    <t>STR_COIN</t>
  </si>
  <si>
    <t>STR_COIN_DES</t>
  </si>
  <si>
    <t>STR_COIN_USE</t>
  </si>
  <si>
    <t>Currency</t>
  </si>
  <si>
    <t>Jade</t>
  </si>
  <si>
    <t>STR_JADE</t>
  </si>
  <si>
    <t>STR_JADE_DES</t>
  </si>
  <si>
    <t>STR_JADE_USE</t>
  </si>
  <si>
    <t>RelicEssence</t>
  </si>
  <si>
    <t>STR_RELIC_ESSENCE</t>
  </si>
  <si>
    <t>STR_RELIC_ESSENCE_DES</t>
  </si>
  <si>
    <t>STR_RELIC_ESSENCE_USE</t>
  </si>
  <si>
    <t>ArmorPrimorite</t>
  </si>
  <si>
    <t>STR_ARMOR_PRIMORITE</t>
  </si>
  <si>
    <t>STR_ARMOR_PRIMORITE_DES</t>
  </si>
  <si>
    <t>STR_ARMOR_PRIMORITE_USE</t>
  </si>
  <si>
    <t>Garnet_Gemstone</t>
  </si>
  <si>
    <t>STR_GARNET_GEMSTONE_NAME</t>
  </si>
  <si>
    <t>STR_GARNET_GEMSTONE_DES</t>
  </si>
  <si>
    <t>STR_GEMSTONE_USEFUL</t>
  </si>
  <si>
    <t>Gemstone</t>
  </si>
  <si>
    <t>Lapis_Lazuli_Gemstone</t>
  </si>
  <si>
    <t>STR_LAPIS_LAZULI_GEMSTONE_NAME</t>
  </si>
  <si>
    <t>STR_LAPIS_LAZULI_GEMSTONE_DES</t>
  </si>
  <si>
    <t>Amethyst_Gemstone</t>
  </si>
  <si>
    <t>STR_AMETHYST_GEMSTONE_NAME</t>
  </si>
  <si>
    <t>STR_AMETHYST_GEMSTONE_DES</t>
  </si>
  <si>
    <t>Yellow_Jade_Gemstone</t>
  </si>
  <si>
    <t>STR_YELLOW_JADE_GEMSTONE_NAME</t>
  </si>
  <si>
    <t>STR_YELLOW_JADE_GEMSTONE_DES</t>
  </si>
  <si>
    <t>Topaz_Gemstone</t>
  </si>
  <si>
    <t>STR_TOPAZ_GEMSTONE_NAME</t>
  </si>
  <si>
    <t>STR_TOPAZ_GEMSTONE_DES</t>
  </si>
  <si>
    <t>Jade_Gemstone</t>
  </si>
  <si>
    <t>STR_JADE_GEMSTONE_NAME</t>
  </si>
  <si>
    <t>STR_JADE_GEMSTONE_DES</t>
  </si>
  <si>
    <t>Aquamarine_Gemstone</t>
  </si>
  <si>
    <t>STR_AQUAMARINE_GEMSTONE_NAME</t>
  </si>
  <si>
    <t>STR_AQUAMARINE_GEMSTONE_DES</t>
  </si>
  <si>
    <t>Garnet_Chunk</t>
  </si>
  <si>
    <t>STR_GARNET_CHUNK_NAME</t>
  </si>
  <si>
    <t>Lapis_Lazuli_Chunk</t>
  </si>
  <si>
    <t>STR_LAPIS_LAZULI_CHUNK_NAME</t>
  </si>
  <si>
    <t>Amethyst_Chunk</t>
  </si>
  <si>
    <t>STR_AMETHYST_CHUNK_NAME</t>
  </si>
  <si>
    <t>Yellow_Jade_Chunk</t>
  </si>
  <si>
    <t>STR_YELLOW_JADE_CHUNK_NAME</t>
  </si>
  <si>
    <t>Topaz_Chunk</t>
  </si>
  <si>
    <t>STR_TOPAZ_CHUNK_NAME</t>
  </si>
  <si>
    <t>Jade_Chunk</t>
  </si>
  <si>
    <t>STR_JADE_CHUNK_NAME</t>
  </si>
  <si>
    <t>Aquamarine_Chunk</t>
  </si>
  <si>
    <t>STR_AQUAMARINE_CHUNK_NAME</t>
  </si>
  <si>
    <t>Garnet_Fragment</t>
  </si>
  <si>
    <t>STR_GARNET_FRAGMENT_NAME</t>
  </si>
  <si>
    <t>Lapis_Lazuli_Fragment</t>
  </si>
  <si>
    <t>STR_LAPIS_LAZULI_FRAGMENT_NAME</t>
  </si>
  <si>
    <t>Amethyst_Fragment</t>
  </si>
  <si>
    <t>STR_AMETHYST_FRAGMENT_NAME</t>
  </si>
  <si>
    <t>Yellow_Jade_Fragment</t>
  </si>
  <si>
    <t>STR_YELLOW_JADE_FRAGMENT_NAME</t>
  </si>
  <si>
    <t>Topaz_Fragment</t>
  </si>
  <si>
    <t>STR_TOPAZ_FRAGMENT_NAME</t>
  </si>
  <si>
    <t>Jade_Fragment</t>
  </si>
  <si>
    <t>STR_JADE_FRAGMENT_NAME</t>
  </si>
  <si>
    <t>Aquamarine_Fragment</t>
  </si>
  <si>
    <t>STR_AQUAMARINE_FRAGMENT_NAME</t>
  </si>
  <si>
    <t>Garnet_Sliver</t>
  </si>
  <si>
    <t>STR_GARNET_SLIVER_NAME</t>
  </si>
  <si>
    <t>Lapis_Lazuli_Sliver</t>
  </si>
  <si>
    <t>STR_LAPIS_LAZULI_SLIVER_NAME</t>
  </si>
  <si>
    <t>Amethyst_Sliver</t>
  </si>
  <si>
    <t>STR_AMETHYST_SLIVER_NAME</t>
  </si>
  <si>
    <t>Yellow_Jade_Sliver</t>
  </si>
  <si>
    <t>STR_YELLOW_JADE_SLIVER_NAME</t>
  </si>
  <si>
    <t>Topaz_Sliver</t>
  </si>
  <si>
    <t>STR_TOPAZ_SLIVER_NAME</t>
  </si>
  <si>
    <t>Jade_Sliver</t>
  </si>
  <si>
    <t>STR_JADE_SLIVER_NAME</t>
  </si>
  <si>
    <t>Aquamarine_Sliver</t>
  </si>
  <si>
    <t>STR_AQUAMARINE_SLIVER_NAME</t>
  </si>
  <si>
    <t>common_exp</t>
  </si>
  <si>
    <t>STR_COMMON_EXP</t>
  </si>
  <si>
    <t>STR_EXP_DESCRIPTION</t>
  </si>
  <si>
    <t>STR_EXP_USEFUL</t>
  </si>
  <si>
    <t>Exp</t>
  </si>
  <si>
    <t>fine_exp</t>
  </si>
  <si>
    <t>STR_FINE_EXP</t>
  </si>
  <si>
    <t>rare_exp</t>
  </si>
  <si>
    <t>STR_RARE_EXP</t>
  </si>
  <si>
    <t>supreme_exp</t>
  </si>
  <si>
    <t>STR_SUPREME_EXP</t>
  </si>
  <si>
    <t>SunWukong</t>
  </si>
  <si>
    <t>STR_SUN_WUKONG</t>
  </si>
  <si>
    <t>STR_SHARD_DESCRIPTION</t>
  </si>
  <si>
    <t>Shard</t>
  </si>
  <si>
    <t>TangSanZang</t>
  </si>
  <si>
    <t>STR_TANG_SANZANG</t>
  </si>
  <si>
    <t>ZhuBaJie</t>
  </si>
  <si>
    <t>STR_ZHU_BAIJE</t>
  </si>
  <si>
    <t>ShaWujing</t>
  </si>
  <si>
    <t>STR_SHA_WUJING</t>
  </si>
  <si>
    <t>DragonKing</t>
  </si>
  <si>
    <t>STR_DRAGON_KING_EATERN_SEA</t>
  </si>
  <si>
    <t>ThirdPrinceNezha</t>
  </si>
  <si>
    <t>STR_THIRD_PRINCE_NEZHA</t>
  </si>
  <si>
    <t>LittleWhiteDragon</t>
  </si>
  <si>
    <t>STR_LITTLE_WHITE_DRAGON</t>
  </si>
  <si>
    <t>BullDemonKing</t>
  </si>
  <si>
    <t>STR_BULL_DEMON_KING</t>
  </si>
  <si>
    <t>ErlangShen</t>
  </si>
  <si>
    <t>STR_ERLANG_SHEN_YANG_JIAN</t>
  </si>
  <si>
    <t>LiJing</t>
  </si>
  <si>
    <t>STR_LI_JING</t>
  </si>
  <si>
    <t xml:space="preserve">VanguardTiger </t>
  </si>
  <si>
    <t>STR_VANGUARD_TIGER</t>
  </si>
  <si>
    <t>TheBoySage</t>
  </si>
  <si>
    <t>STR_THE_BOY_SAGE</t>
  </si>
  <si>
    <t>GoldHornKing</t>
  </si>
  <si>
    <t>STR_GOLD_HORN_KING</t>
  </si>
  <si>
    <t>SilverHornKing</t>
  </si>
  <si>
    <t>STR_SILVER_HORN_KING</t>
  </si>
  <si>
    <t>YellowWindMonster</t>
  </si>
  <si>
    <t>STR_YELLOW_WIND_MONSTER</t>
  </si>
  <si>
    <t>GoldfishDemon</t>
  </si>
  <si>
    <t>STR_GOLD_FISH_DEMON</t>
  </si>
  <si>
    <t>Armor01_Helmet</t>
  </si>
  <si>
    <t>STR_ARMOR_01</t>
  </si>
  <si>
    <t>Armor</t>
  </si>
  <si>
    <t>Armor02_Helmet</t>
  </si>
  <si>
    <t>STR_ARMOR_02</t>
  </si>
  <si>
    <t>Armor03_Helmet</t>
  </si>
  <si>
    <t>STR_ARMOR_03</t>
  </si>
  <si>
    <t>Armor04_Helmet</t>
  </si>
  <si>
    <t>STR_ARMOR_04</t>
  </si>
  <si>
    <t>Armor05_Helmet</t>
  </si>
  <si>
    <t>STR_ARMOR_05</t>
  </si>
  <si>
    <t>Armor06_Helmet</t>
  </si>
  <si>
    <t>STR_ARMOR_06</t>
  </si>
  <si>
    <t>Armor07_Helmet</t>
  </si>
  <si>
    <t>STR_ARMOR_07</t>
  </si>
  <si>
    <t>Armor08_Helmet</t>
  </si>
  <si>
    <t>STR_ARMOR_08</t>
  </si>
  <si>
    <t>Armor01_Chestplate</t>
  </si>
  <si>
    <t>Armor02_Chestplate</t>
  </si>
  <si>
    <t>Armor03_Chestplate</t>
  </si>
  <si>
    <t>Armor04_Chestplate</t>
  </si>
  <si>
    <t>Armor05_Chestplate</t>
  </si>
  <si>
    <t>Armor06_Chestplate</t>
  </si>
  <si>
    <t>Armor07_Chestplate</t>
  </si>
  <si>
    <t>Armor08_Chestplate</t>
  </si>
  <si>
    <t>Armor01_Gloves</t>
  </si>
  <si>
    <t>Armor02_Gloves</t>
  </si>
  <si>
    <t>Armor03_Gloves</t>
  </si>
  <si>
    <t>Armor04_Gloves</t>
  </si>
  <si>
    <t>Armor05_Gloves</t>
  </si>
  <si>
    <t>Armor06_Gloves</t>
  </si>
  <si>
    <t>Armor07_Gloves</t>
  </si>
  <si>
    <t>Armor08_Gloves</t>
  </si>
  <si>
    <t>Armor01_Boots</t>
  </si>
  <si>
    <t>Armor02_Boots</t>
  </si>
  <si>
    <t>Armor03_Boots</t>
  </si>
  <si>
    <t>Armor04_Boots</t>
  </si>
  <si>
    <t>Armor05_Boots</t>
  </si>
  <si>
    <t>Armor06_Boots</t>
  </si>
  <si>
    <t>Armor07_Boots</t>
  </si>
  <si>
    <t>Armor08_Boots</t>
  </si>
  <si>
    <t>Armor01_Belt</t>
  </si>
  <si>
    <t>Armor02_Belt</t>
  </si>
  <si>
    <t>Armor03_Belt</t>
  </si>
  <si>
    <t>Armor04_Belt</t>
  </si>
  <si>
    <t>Armor05_Belt</t>
  </si>
  <si>
    <t>Armor06_Belt</t>
  </si>
  <si>
    <t>Armor07_Belt</t>
  </si>
  <si>
    <t>Armor08_Belt</t>
  </si>
  <si>
    <t>Armor01_Ring</t>
  </si>
  <si>
    <t>Armor02_Ring</t>
  </si>
  <si>
    <t>Armor03_Ring</t>
  </si>
  <si>
    <t>Armor04_Ring</t>
  </si>
  <si>
    <t>Armor05_Ring</t>
  </si>
  <si>
    <t>Armor06_Ring</t>
  </si>
  <si>
    <t>Armor07_Ring</t>
  </si>
  <si>
    <t>Armor08_Ring</t>
  </si>
  <si>
    <t>ShaWujing_avatar</t>
  </si>
  <si>
    <t>Avatar</t>
  </si>
  <si>
    <t>TangSanzang_avatar</t>
  </si>
  <si>
    <t>Wukong_avatar</t>
  </si>
  <si>
    <t>Wukong01_avatar</t>
  </si>
  <si>
    <t>Wukong02_avatar</t>
  </si>
  <si>
    <t>Wukong03_avatar</t>
  </si>
  <si>
    <t>Wukong04_avatar</t>
  </si>
  <si>
    <t>Wukong05_avatar</t>
  </si>
  <si>
    <t>ZhuBajie_avatar</t>
  </si>
  <si>
    <t>Slime</t>
  </si>
  <si>
    <t>STR_SLIME_NAME</t>
  </si>
  <si>
    <t>STR_SLIME_DES</t>
  </si>
  <si>
    <t>STR_SLIME_USEFUL</t>
  </si>
  <si>
    <t>Material</t>
  </si>
  <si>
    <t>Pram01</t>
  </si>
  <si>
    <t>Pram02</t>
  </si>
  <si>
    <t>Pram03</t>
  </si>
  <si>
    <t>Pram04</t>
  </si>
  <si>
    <t>Pram05</t>
  </si>
  <si>
    <t>GlobalStatBuff</t>
  </si>
  <si>
    <t>CRIT_RATE</t>
  </si>
  <si>
    <t>Flat</t>
  </si>
  <si>
    <t>CRIT_DMG_RES</t>
  </si>
  <si>
    <t>ATK</t>
  </si>
  <si>
    <t>HP</t>
  </si>
  <si>
    <t>DEF</t>
  </si>
  <si>
    <t>RestoreEnergy</t>
  </si>
  <si>
    <t>Type</t>
  </si>
  <si>
    <t>GrowthHP</t>
  </si>
  <si>
    <t>GrowthATK</t>
  </si>
  <si>
    <t>PassiveID</t>
  </si>
  <si>
    <t>Fighter</t>
  </si>
  <si>
    <t>psv_nimbus_cudgel</t>
  </si>
  <si>
    <t>psv_triple_edged_blade</t>
  </si>
  <si>
    <t>Assassin</t>
  </si>
  <si>
    <t>psv_vanguard_of_volition</t>
  </si>
  <si>
    <t>Support</t>
  </si>
  <si>
    <t>psv_ninefold_staff</t>
  </si>
  <si>
    <t>Tanker</t>
  </si>
  <si>
    <t>psv_nine_toothed_rake</t>
  </si>
  <si>
    <t>Mage</t>
  </si>
  <si>
    <t>psv_nimbus_cloud</t>
  </si>
  <si>
    <t>Normal</t>
  </si>
  <si>
    <t>psv_sunburst_spade</t>
  </si>
  <si>
    <t>ADCarry</t>
  </si>
  <si>
    <t>psv_reincarnation</t>
  </si>
  <si>
    <t>psv_ennead_spear</t>
  </si>
  <si>
    <t>psv_crescent_axe</t>
  </si>
  <si>
    <t>psv_bronze_hammer</t>
  </si>
  <si>
    <t>psv_moonlit_firefly</t>
  </si>
  <si>
    <t>psv_plantain_fan</t>
  </si>
  <si>
    <t>psv_wings_of_phoenix</t>
  </si>
  <si>
    <t>psv_windfire_wheel</t>
  </si>
  <si>
    <t>psv_linglong_pagoda</t>
  </si>
  <si>
    <t>psv_ferrous_chaos</t>
  </si>
  <si>
    <t>desc_template</t>
  </si>
  <si>
    <t>Note</t>
  </si>
  <si>
    <t>Tấn công và phòng thủ tăng {0}%. Sau khi tấn công đơn, nếu đánh bại mục tiêu thì điểm hành động tăng {1}%.</t>
  </si>
  <si>
    <t>Tăng {0}% Sát Thương Bạo Kích và {1}% Tấn Công. Sau khi thi triển kỹ năng tấn công đơn đánh bại mục tiêu, có {2}% xác suất hiệp hồi chiêu kỹ năng của bản thân -1.</t>
  </si>
  <si>
    <t>Tăng {0}% Sát Thương Bạo Kích và {1}% Tấn Công. Khi gây sát thương Bạo Kích, tăng {2}% Điểm Hành Động của bản thân. Sau khi tấn công đơn mục tiêu, nếu mục tiêu còn sống, có {3}% xác suất lập tức tung đòn Đánh Thường để truy kích.</t>
  </si>
  <si>
    <t>Tăng {0}% Tốc Độ. Tăng thêm {1}% hiệu quả cho các kỹ năng Cường Hóa và Hỗ Trợ.</t>
  </si>
  <si>
    <t>Tăng {0}% HP và {0}% Phòng Thủ. Mỗi khi chịu sát thương, Phòng Thủ tăng thêm {1}%, tối đa cộng dồn 5 tầng. Khi đạt 5 tầng, hồi phục 10% HP Tối Đa.</t>
  </si>
  <si>
    <t>Tăng {0}% Tốc Độ và {1}% Tấn Công. Khi bắt đầu lượt, tăng {2}% Điểm Hành Động của bản thân.</t>
  </si>
  <si>
    <t>Tấn công tăng {0}%.</t>
  </si>
  <si>
    <t>Tấn công tăng {0}%. Đòn tấn công đơn mục tiêu gây thêm {1}% Sát thương.</t>
  </si>
  <si>
    <t>Tỷ lệ bạo kích tăng {0}%.</t>
  </si>
  <si>
    <t xml:space="preserve">ST Bạo Kích tăng {0}%. </t>
  </si>
  <si>
    <t>Phòng thủ tăng {0}%.</t>
  </si>
  <si>
    <t>Tăng {0}% Tốc Độ và {1}% Tấn Công. Tăng thêm {2}% hiệu quả cho các kỹ năng Cường Hóa và Hỗ Trợ.</t>
  </si>
  <si>
    <t>Tăng {0}% Sát Thương Bạo Kích và {1}% Tấn Công. Đòn tấn công kỹ năng có 60% xác suất giảm {2}% Phòng Thủ của mục tiêu trong 2 hiệp và gây thêm {3}% Sát Thương lên kẻ địch đang chịu hiệu ứng bất lợi.</t>
  </si>
  <si>
    <t>Tăng {0}% HP và {1}% Phòng Thủ. Tăng thêm {2}% hiệu quả cho các kỹ năng Hồi Máu.</t>
  </si>
  <si>
    <t>psv_sunwukong_major</t>
  </si>
  <si>
    <t>STR_SUNWUKONG_MAJOR_PASSIVE</t>
  </si>
  <si>
    <t>Kỹ năng Major hút máu 25% sát thương gây ra</t>
  </si>
  <si>
    <t>psv_sunwukong_ultiamte</t>
  </si>
  <si>
    <t>STR_SUNWUKONG_ULT_PASSIVE</t>
  </si>
  <si>
    <t>Tuyệt kỹ giảm 25% Giáp mục tiêu</t>
  </si>
  <si>
    <t>psv_erlangshen_major</t>
  </si>
  <si>
    <t>STR_ERLANGSHEN_MAJOR_PASSIVE</t>
  </si>
  <si>
    <t>Kỹ năng Major tăng thêm 100% Sát thương Bạo Kích</t>
  </si>
  <si>
    <t>psv_lijing_base</t>
  </si>
  <si>
    <t>STR_PSV_LIJING_BASE_DESC</t>
  </si>
  <si>
    <t>Đánh thường nhận khiên 5% Max HP (max 5 tầng)</t>
  </si>
  <si>
    <t>psv_lijing_ultimate</t>
  </si>
  <si>
    <t>STR_PSV_LIJING_ULT_DESC</t>
  </si>
  <si>
    <t>Tuyệt kỹ nộ tăng 30% Max HP vào Base Damage</t>
  </si>
  <si>
    <t>psv_erlangshen_ultimate</t>
  </si>
  <si>
    <t>STR_ERLANGSHEN_ULT_PASSIVE</t>
  </si>
  <si>
    <t>Tuyệt kỹ có 30% Xuyên Giáp</t>
  </si>
  <si>
    <t>HP Tối Đa tăng {0}%. Đồng thời giảm 15% sát thương nhận vào ở đòn đánh đầu tiên; các đòn tiếp theo có 40% tỉ lệ kích hoạt hiệu ứng [Giảm Sát Thương] (giảm 10% sát thương).</t>
  </si>
  <si>
    <t>psv_bulldemonking_counter</t>
  </si>
  <si>
    <t>STR_BULL_COUNTER_NAME</t>
  </si>
  <si>
    <t>Có 50%, 75%, 100% cơ hội phản kích khi bị đánh thường</t>
  </si>
  <si>
    <t>STR_BULL_COUNTER_DES</t>
  </si>
  <si>
    <t>Tăng {0}% Tấn Công và {0}% Phòng Thủ. Trạng thái Áp Đảo (HP &gt; 50%) tăng 16% Sát thương Kỹ năng. Trạng thái Huyết Chiến (HP ≤ 50%) nhận 16% Hút Máu tương đương 16% tổng sát thương gây ra.</t>
  </si>
  <si>
    <t>psv_nezha_ultimate</t>
  </si>
  <si>
    <t>STR_NEZHA_ULT_PASSIVE</t>
  </si>
  <si>
    <t>Khi kết liễu kẻ địch bằng chiêu cuối, kích hoạt hiệu ứng [Càn Quét] tấn công 1 kẻ địch khác với 120% ATK.</t>
  </si>
  <si>
    <t>Tăng {0}% Sát Thương Bạo Kích và {0}% Tấn Công. Khi gây sát thương Bạo Kích, tăng {1}% Điểm Hành Động của bản thân.</t>
  </si>
  <si>
    <t>psv_thirddragon_major</t>
  </si>
  <si>
    <t>STR_THIRD_DRAGON_MAJOR_PAS</t>
  </si>
  <si>
    <t>Bắn cầu băng gây sát thương và làm Tê Tái giảm {0}% Tốc độ trong 2 hiệp.</t>
  </si>
  <si>
    <t>psv_theboysage_ultimate</t>
  </si>
  <si>
    <t>STR_THEBOYSAGE_ULTIMATE_PASSIVE</t>
  </si>
  <si>
    <t>Tuyệt kỹ bỏ qua 30% Phòng Thủ của mục tiêu.</t>
  </si>
  <si>
    <t>passive_id</t>
  </si>
  <si>
    <t>stat_type</t>
  </si>
  <si>
    <t>modify_type</t>
  </si>
  <si>
    <t>modify_by_upgrade</t>
  </si>
  <si>
    <t>Percent</t>
  </si>
  <si>
    <t>10, 15, 20, 25, 30, 35</t>
  </si>
  <si>
    <t>SPEED</t>
  </si>
  <si>
    <t>6, 8, 10, 12, 15, 20</t>
  </si>
  <si>
    <t>8, 11, 14, 17, 20, 25</t>
  </si>
  <si>
    <t>5, 7.5, 10, 12.5, 16, 20</t>
  </si>
  <si>
    <t>CRIT_DMG</t>
  </si>
  <si>
    <t>5, 7.5, 10, 12.5, 17,, 21</t>
  </si>
  <si>
    <t>15, 20, 25, 30, 35, 40</t>
  </si>
  <si>
    <t>HP tối đa tăng {0}%</t>
  </si>
  <si>
    <t>8, 10, 12, 14, 17, 20</t>
  </si>
  <si>
    <t>10, 14, 18, 22, 26, 32</t>
  </si>
  <si>
    <t>5, 7.5, 10, 12.5, 15, 20</t>
  </si>
  <si>
    <t>20, 25, 30, 35, 40, 50</t>
  </si>
  <si>
    <t>10, 12, 14, 17, 20, 25</t>
  </si>
  <si>
    <t>4.0, 5.0, 6.0, 7.0, 8.5, 10.0</t>
  </si>
  <si>
    <t>5.0, 6.5, 8.0, 10.0, 12.0, 15.0</t>
  </si>
  <si>
    <t>20.0, 25.0, 30.0, 35.0, 40.0, 50.0</t>
  </si>
  <si>
    <t>10.0, 12.0, 14.0, 17.0, 20.0, 25.0</t>
  </si>
  <si>
    <t>30.0, 36.0, 42.0, 48.0, 54.0, 60.0</t>
  </si>
  <si>
    <t>8.0, 10.0, 12.0, 15.0, 18.0, 25.0</t>
  </si>
  <si>
    <t>15.0, 18.0, 21.0, 25.0, 30.0, 40.0</t>
  </si>
  <si>
    <t>Tăng {0}% ATK</t>
  </si>
  <si>
    <t>event_type</t>
  </si>
  <si>
    <t>effect_id</t>
  </si>
  <si>
    <t>condition_filter</t>
  </si>
  <si>
    <t>effect_param</t>
  </si>
  <si>
    <t>internal_cooldown</t>
  </si>
  <si>
    <t>target</t>
  </si>
  <si>
    <t>OnAfterDealDamage</t>
  </si>
  <si>
    <t>Eff_Action_Point_Boost</t>
  </si>
  <si>
    <t>SingleTarget, TargetDead</t>
  </si>
  <si>
    <t>self</t>
  </si>
  <si>
    <t>Eff_Reduce_Cooldown</t>
  </si>
  <si>
    <t>100.0, 100.0, 100.0, 100.0, 100.0, 100.0</t>
  </si>
  <si>
    <t>IsSkill, SingleTarget, TargetDead</t>
  </si>
  <si>
    <t>OnSkillStart</t>
  </si>
  <si>
    <t>Eff_Buff_Enhance</t>
  </si>
  <si>
    <t>30.0, 35.0, 40.0, 45.0, 50.0, 60.0</t>
  </si>
  <si>
    <t>None</t>
  </si>
  <si>
    <t>OnBeforeDealDamage</t>
  </si>
  <si>
    <t>Eff_IncreaseAttack</t>
  </si>
  <si>
    <t>10.0, 13.0, 16.0, 19.0, 22.0, 25.0</t>
  </si>
  <si>
    <t>SingleTarget</t>
  </si>
  <si>
    <t>Eff_Lifesteal</t>
  </si>
  <si>
    <t>20, 25, 30, 30, 30, 30</t>
  </si>
  <si>
    <t>MajorSkill</t>
  </si>
  <si>
    <t>Kỹ năng Major hút máu 25%</t>
  </si>
  <si>
    <t>Eff_IncreaseCritDmg</t>
  </si>
  <si>
    <t>60, 80, 100, 100, 100, 100</t>
  </si>
  <si>
    <t>Kỹ năng Major tăng 100% Crit DMG</t>
  </si>
  <si>
    <t>Eff_AddShield</t>
  </si>
  <si>
    <t>5, 5, 5, 5, 5, 5</t>
  </si>
  <si>
    <t>BasicAttack</t>
  </si>
  <si>
    <t>Eff_HPScalingDamage</t>
  </si>
  <si>
    <t>30, 30, 30, 30, 30, 30</t>
  </si>
  <si>
    <t>UltimateSkill</t>
  </si>
  <si>
    <t>Eff_ArmorPenetration</t>
  </si>
  <si>
    <t>Tuyệt kỹ tăng 30% Xuyên Giáp</t>
  </si>
  <si>
    <t>Eff_ReduceDefense</t>
  </si>
  <si>
    <t>15, 20, 25, 25, 25, 25</t>
  </si>
  <si>
    <t>enemy</t>
  </si>
  <si>
    <t>Tuyệt kỹ giảm 25% DEF mục tiêu</t>
  </si>
  <si>
    <t>OnTakeDamage</t>
  </si>
  <si>
    <t>Eff_CounterAttack</t>
  </si>
  <si>
    <t>50, 75, 100, 100, 100, 100</t>
  </si>
  <si>
    <t>Có 50%, 75%, 100% cơ hội phản kích khi bị đánh thường, gây 100% ATK</t>
  </si>
  <si>
    <t>16, 16, 16, 16, 16, 16</t>
  </si>
  <si>
    <t>IsSkill, HP_Above_50</t>
  </si>
  <si>
    <t>Trạng thái Áp Đảo (HP &gt; 50%) tăng 16% Sát thương Kỹ năng</t>
  </si>
  <si>
    <t>HP_BelowOrEqual_50</t>
  </si>
  <si>
    <t>Trạng thái Huyết Chiến (HP ≤ 50%) nhận 16% Hút Máu</t>
  </si>
  <si>
    <t>Eff_FollowUp_BasicAttack</t>
  </si>
  <si>
    <t>100, 120, 150, 200, 200, 200</t>
  </si>
  <si>
    <t>UltimateSkill, TargetDead</t>
  </si>
  <si>
    <t>10, 12, 14, 16, 18, 20</t>
  </si>
  <si>
    <t>IsCritical</t>
  </si>
  <si>
    <t>Khi gây sát thương Bạo Kích, tăng {1}% Điểm Hành Động của bản thân.</t>
  </si>
  <si>
    <t>Eff_Stackable_DEF_Buff</t>
  </si>
  <si>
    <t>4.0, 5.0, 6.0, 7.0, 8.0, 10.0</t>
  </si>
  <si>
    <t>Mỗi khi chịu sát thương, Phòng Thủ tăng thêm {1}%, tối đa cộng dồn 5 tầng. Khi đạt 5 tầng, hồi phục 10% HP Tối Đa.</t>
  </si>
  <si>
    <t>15.0, 18.0, 21.0, 24.0, 27.0, 30.0</t>
  </si>
  <si>
    <t>OnAfterSkillExecute</t>
  </si>
  <si>
    <t>50.0, 60.0, 70.0, 80.0, 90.0, 100.0</t>
  </si>
  <si>
    <t>SingleTarget, TargetAlive</t>
  </si>
  <si>
    <t>OnTurnStart</t>
  </si>
  <si>
    <t>10.0, 12.0, 14.0, 16.0, 18.0, 20.0</t>
  </si>
  <si>
    <t>IsSkill</t>
  </si>
  <si>
    <t>Eff_DamageBonus</t>
  </si>
  <si>
    <t>TargetHasDebuff</t>
  </si>
  <si>
    <t>40.0, 50.0, 60.0, 70.0, 80.0, 100.0</t>
  </si>
  <si>
    <t>30.0, 40.0, 50.0, 60.0, 70.0, 80.0</t>
  </si>
  <si>
    <t>EFF_DefSpd_def</t>
  </si>
  <si>
    <t>-20, -25, -30, -35, -40, -50</t>
  </si>
  <si>
    <t>Làm giảm tốc độ kẻ địch</t>
  </si>
  <si>
    <t>Tuyệt kỹ bỏ qua 30% Phòng Thủ của mục tiêu</t>
  </si>
  <si>
    <t>Des</t>
  </si>
  <si>
    <t>TargetStat</t>
  </si>
  <si>
    <t>ModifyType</t>
  </si>
  <si>
    <t>Duration</t>
  </si>
  <si>
    <t>Value</t>
  </si>
  <si>
    <t>MaxStack</t>
  </si>
  <si>
    <t>EFF_Posion_def</t>
  </si>
  <si>
    <t>EFF_POSION_NAME</t>
  </si>
  <si>
    <t>EFF_POSION_DES</t>
  </si>
  <si>
    <t>Poison</t>
  </si>
  <si>
    <t>EFF_Stun_def</t>
  </si>
  <si>
    <t>DEBUFF_STUN_NAME</t>
  </si>
  <si>
    <t>DEBUFF_STUN_DES</t>
  </si>
  <si>
    <t>Stun</t>
  </si>
  <si>
    <t>EFF_BufATK_def</t>
  </si>
  <si>
    <t>BUFF_ATTACK_NAME</t>
  </si>
  <si>
    <t>BUFF_ATTACK_DES</t>
  </si>
  <si>
    <t>StatBuff</t>
  </si>
  <si>
    <t>EFF_BufDEF_def</t>
  </si>
  <si>
    <t>BUFF_DEF_NAME</t>
  </si>
  <si>
    <t>BUFF_DEF_DES</t>
  </si>
  <si>
    <t>EFF_BufSpd_def</t>
  </si>
  <si>
    <t>BUFF_SPEED_NAME</t>
  </si>
  <si>
    <t>BUFF_SPEED_DES</t>
  </si>
  <si>
    <t>DEBUFF_SPEED_NAME</t>
  </si>
  <si>
    <t>DEBUFF_SPEED_DES</t>
  </si>
  <si>
    <t>StatDebuff</t>
  </si>
  <si>
    <t>EFF_ResetDef</t>
  </si>
  <si>
    <t>RESIST_DEBUFF_NAME</t>
  </si>
  <si>
    <t>RESIST_DEBUFF_DES</t>
  </si>
  <si>
    <t>ResetDebuff</t>
  </si>
  <si>
    <t>EFF_Frozen_def</t>
  </si>
  <si>
    <t>DEBUFF_FRONZEN_NAME</t>
  </si>
  <si>
    <t>DEBUFF_FRONZEN_DES</t>
  </si>
  <si>
    <t>Frozen</t>
  </si>
  <si>
    <t>EFF_Bull_Buff_ATK</t>
  </si>
  <si>
    <t>EFF_Bull_Poison</t>
  </si>
  <si>
    <t>EFF_Zhu_DefShred</t>
  </si>
  <si>
    <t>DEBUFF_DEF_NAME</t>
  </si>
  <si>
    <t>DEBUFF_DEF_DES</t>
  </si>
  <si>
    <t>EFF_Sha_Buff_DEF</t>
  </si>
  <si>
    <t>EFF_Dragon_Speed</t>
  </si>
  <si>
    <t>EFF_Tang_Buff_ATK</t>
  </si>
  <si>
    <t>EFF_Silence_def</t>
  </si>
  <si>
    <t>EFF_SILENCE_NAME</t>
  </si>
  <si>
    <t>EFF_SILENCE_DES</t>
  </si>
  <si>
    <t>Silence</t>
  </si>
  <si>
    <t>EFF_Burn_def</t>
  </si>
  <si>
    <t>EFF_BURN_NAME</t>
  </si>
  <si>
    <t>EFF_BURN_DES</t>
  </si>
  <si>
    <t>Burn</t>
  </si>
  <si>
    <t>Part</t>
  </si>
  <si>
    <t>SetArmor</t>
  </si>
  <si>
    <t>main_stat_type</t>
  </si>
  <si>
    <t>main_stat_valuie</t>
  </si>
  <si>
    <t>modifier_type</t>
  </si>
  <si>
    <t>substat_pool_id</t>
  </si>
  <si>
    <t>Helmet</t>
  </si>
  <si>
    <t>Armor01</t>
  </si>
  <si>
    <t>hp</t>
  </si>
  <si>
    <t>Warrior_Pool</t>
  </si>
  <si>
    <t>Armor02</t>
  </si>
  <si>
    <t>Armor03</t>
  </si>
  <si>
    <t>Tanker_Pool</t>
  </si>
  <si>
    <t>Armor04</t>
  </si>
  <si>
    <t>Armor05</t>
  </si>
  <si>
    <t>Armor06</t>
  </si>
  <si>
    <t>Assassin_Pool</t>
  </si>
  <si>
    <t>Armor07</t>
  </si>
  <si>
    <t>Armor08</t>
  </si>
  <si>
    <t>Chestplate</t>
  </si>
  <si>
    <t>def</t>
  </si>
  <si>
    <t>Gloves</t>
  </si>
  <si>
    <t>atk</t>
  </si>
  <si>
    <t>Boots</t>
  </si>
  <si>
    <t>speed</t>
  </si>
  <si>
    <t>Belt</t>
  </si>
  <si>
    <t>3.5</t>
  </si>
  <si>
    <t>Ring</t>
  </si>
  <si>
    <t>crit_rate</t>
  </si>
  <si>
    <t>StatType</t>
  </si>
  <si>
    <t>Min</t>
  </si>
  <si>
    <t>Max</t>
  </si>
  <si>
    <t>Modifier_Type</t>
  </si>
  <si>
    <t>Weight</t>
  </si>
  <si>
    <t>PENETRATION</t>
  </si>
  <si>
    <t>DEF_SHRED</t>
  </si>
  <si>
    <t>Pieces_Required</t>
  </si>
  <si>
    <t>Bonus_Stat_Type</t>
  </si>
  <si>
    <t>Bonus_Value</t>
  </si>
  <si>
    <t>atk, crit_dmg</t>
  </si>
  <si>
    <t>20, 15</t>
  </si>
  <si>
    <t>Percent, Percent</t>
  </si>
  <si>
    <t>speed, hp</t>
  </si>
  <si>
    <t>10, 10</t>
  </si>
  <si>
    <t>20</t>
  </si>
  <si>
    <t>hp, def</t>
  </si>
  <si>
    <t>atk, hp</t>
  </si>
  <si>
    <t>8, 8</t>
  </si>
  <si>
    <t>15, 15</t>
  </si>
  <si>
    <t>crit_rate, crit_dmg</t>
  </si>
  <si>
    <t>10, 20</t>
  </si>
  <si>
    <t>atk, penetration</t>
  </si>
  <si>
    <t>12, 10</t>
  </si>
  <si>
    <t>Class</t>
  </si>
  <si>
    <t>Base</t>
  </si>
  <si>
    <t>Major</t>
  </si>
  <si>
    <t>Ultimate</t>
  </si>
  <si>
    <t>UR</t>
  </si>
  <si>
    <t>Character</t>
  </si>
  <si>
    <t>SunWukong_B</t>
  </si>
  <si>
    <t>SunWukong_M</t>
  </si>
  <si>
    <t>SunWukong_U</t>
  </si>
  <si>
    <t>R</t>
  </si>
  <si>
    <t>TangSanZang_B</t>
  </si>
  <si>
    <t>TangSanZang_M</t>
  </si>
  <si>
    <t>TangSanZang_U</t>
  </si>
  <si>
    <t>SR</t>
  </si>
  <si>
    <t>ZhuBaJie_B</t>
  </si>
  <si>
    <t>ZhuBaJie_M</t>
  </si>
  <si>
    <t>ZhuBaJie_U</t>
  </si>
  <si>
    <t>ShaWujing_B</t>
  </si>
  <si>
    <t>ShaWujing_M</t>
  </si>
  <si>
    <t>ShaWujing_U</t>
  </si>
  <si>
    <t>DragonKing_B</t>
  </si>
  <si>
    <t>DragonKing_M</t>
  </si>
  <si>
    <t>DragonKing_U</t>
  </si>
  <si>
    <t>SSR</t>
  </si>
  <si>
    <t>ThirdPrinceNezha_B</t>
  </si>
  <si>
    <t>ThirdPrinceNezha_M</t>
  </si>
  <si>
    <t>ThirdPrinceNezha_U</t>
  </si>
  <si>
    <t>LittleWhiteDragon_B</t>
  </si>
  <si>
    <t>LittleWhiteDragon_M</t>
  </si>
  <si>
    <t>LittleWhiteDragon_U</t>
  </si>
  <si>
    <t>BullDemonKing_B</t>
  </si>
  <si>
    <t>BullDemonKing_M</t>
  </si>
  <si>
    <t>BullDemonKing_U</t>
  </si>
  <si>
    <t>ErlangShen_B</t>
  </si>
  <si>
    <t>ErlangShen_M</t>
  </si>
  <si>
    <t>ErlangShen_U</t>
  </si>
  <si>
    <t>GuanyinBodhisattva</t>
  </si>
  <si>
    <t>STR_GUANYIN_BODHISATTVA</t>
  </si>
  <si>
    <t>GuanyinBodhisattva_B</t>
  </si>
  <si>
    <t>GuanyinBodhisattva_M</t>
  </si>
  <si>
    <t>GuanyinBodhisattva_U</t>
  </si>
  <si>
    <t>VanguardTiger</t>
  </si>
  <si>
    <t>Boss</t>
  </si>
  <si>
    <t>VanguardTiger_B</t>
  </si>
  <si>
    <t>None_Skill</t>
  </si>
  <si>
    <t>TheBoySage_B</t>
  </si>
  <si>
    <t>TheBoySage_M</t>
  </si>
  <si>
    <t>TheBoySage_U</t>
  </si>
  <si>
    <t>GoldHornKing_B</t>
  </si>
  <si>
    <t>GoldHornKing_M</t>
  </si>
  <si>
    <t>GoldHornKing_U</t>
  </si>
  <si>
    <t>SilverHornKing_B</t>
  </si>
  <si>
    <t>SilverHornKing_M</t>
  </si>
  <si>
    <t>SilverHornKing_U</t>
  </si>
  <si>
    <t>YellowWindMonster_B</t>
  </si>
  <si>
    <t>YellowWindMonster_M</t>
  </si>
  <si>
    <t>YellowWindMonster_U</t>
  </si>
  <si>
    <t>GoldfishDemon_B</t>
  </si>
  <si>
    <t>GoldfishDemon_M</t>
  </si>
  <si>
    <t>GoldfishDemon_U</t>
  </si>
  <si>
    <t>HeavenlySoddier</t>
  </si>
  <si>
    <t>STR_HEAVENLY_SODDIERS</t>
  </si>
  <si>
    <t>Creep</t>
  </si>
  <si>
    <t>HeavenlySoddier_B</t>
  </si>
  <si>
    <t>YoungBufflalo</t>
  </si>
  <si>
    <t>STR_YOUNG_BUFFALO</t>
  </si>
  <si>
    <t>YoungBufflalo_B</t>
  </si>
  <si>
    <t>Minions</t>
  </si>
  <si>
    <t>STR_MINIONS</t>
  </si>
  <si>
    <t>Minions_B</t>
  </si>
  <si>
    <t>RatMonster</t>
  </si>
  <si>
    <t>STR_RAT_MONSTER</t>
  </si>
  <si>
    <t>RatMonster_B</t>
  </si>
  <si>
    <t>CrabSolider</t>
  </si>
  <si>
    <t>STR_CRAB_SOLDIER</t>
  </si>
  <si>
    <t>CrabSolider_B</t>
  </si>
  <si>
    <t>SquidSolider</t>
  </si>
  <si>
    <t>STR_SQUID_SOLDIER</t>
  </si>
  <si>
    <t>SquidSolider_B</t>
  </si>
  <si>
    <t>Benborba</t>
  </si>
  <si>
    <t>STR_BENBORBA</t>
  </si>
  <si>
    <t>Benborba_B</t>
  </si>
  <si>
    <t>Baborben</t>
  </si>
  <si>
    <t>STR_BABORBEN</t>
  </si>
  <si>
    <t>Baborben_B</t>
  </si>
  <si>
    <t>LiJing_B</t>
  </si>
  <si>
    <t>LiJing_M</t>
  </si>
  <si>
    <t>LiJing_U</t>
  </si>
  <si>
    <t>MarshalTianpeng</t>
  </si>
  <si>
    <t>STR_MARSHAL_TIANPENG</t>
  </si>
  <si>
    <t>MarshalTianpeng_B</t>
  </si>
  <si>
    <t>MarshalTianpeng_M</t>
  </si>
  <si>
    <t>MarshalTianpeng_U</t>
  </si>
  <si>
    <t>ThirdPrinceNezha_Boss</t>
  </si>
  <si>
    <t>BullDemonKing_Boss</t>
  </si>
  <si>
    <t>ErlangShen_Boss</t>
  </si>
  <si>
    <t>LiJing_Boss</t>
  </si>
  <si>
    <t>ThirdDragonPrince</t>
  </si>
  <si>
    <t>STR_THIRD_DRAGON_PRINCE</t>
  </si>
  <si>
    <t>ThirdDragonPrince_B</t>
  </si>
  <si>
    <t>ThirdDragonPrince_M</t>
  </si>
  <si>
    <t>ThirdDragonPrince_U</t>
  </si>
  <si>
    <t>Stat_Bias</t>
  </si>
  <si>
    <t>def_shred</t>
  </si>
  <si>
    <t>crit_rare</t>
  </si>
  <si>
    <t>crit_dmg</t>
  </si>
  <si>
    <t>penetration</t>
  </si>
  <si>
    <t>crit_dmg_res</t>
  </si>
  <si>
    <t>Offensive</t>
  </si>
  <si>
    <t>Balanced</t>
  </si>
  <si>
    <t>Defensive</t>
  </si>
  <si>
    <t>Swift</t>
  </si>
  <si>
    <t>Heavy</t>
  </si>
  <si>
    <t>DamageMultiplier</t>
  </si>
  <si>
    <t>MaxCooldown</t>
  </si>
  <si>
    <t>SkillType</t>
  </si>
  <si>
    <t>TargetType</t>
  </si>
  <si>
    <t>Effect</t>
  </si>
  <si>
    <t>Sound</t>
  </si>
  <si>
    <t>SunWukong_B_Name</t>
  </si>
  <si>
    <t>SunWukong_B_Des</t>
  </si>
  <si>
    <t>Melee</t>
  </si>
  <si>
    <t>0.8, 0.9, 1.0</t>
  </si>
  <si>
    <t>0, 0, 0</t>
  </si>
  <si>
    <t>SingleEnemy</t>
  </si>
  <si>
    <t>SunWukong_Attack</t>
  </si>
  <si>
    <t>SunWukong_M_Name</t>
  </si>
  <si>
    <t>SunWukong_M_Des</t>
  </si>
  <si>
    <t>Summon</t>
  </si>
  <si>
    <t>0.6, 0.75, 0.9</t>
  </si>
  <si>
    <t>4.0, 4.0, 3.0</t>
  </si>
  <si>
    <t>ActiveSkill</t>
  </si>
  <si>
    <t>AllEnemies</t>
  </si>
  <si>
    <t>Wind_Blow</t>
  </si>
  <si>
    <t>SunWukong_U_Name</t>
  </si>
  <si>
    <t>SunWukong_U_Des</t>
  </si>
  <si>
    <t>EmpowerAttack</t>
  </si>
  <si>
    <t>2.0, 2.2, 2.5</t>
  </si>
  <si>
    <t>5.0, 5.0, 4.0</t>
  </si>
  <si>
    <t>SunWukong_Main</t>
  </si>
  <si>
    <t>TangSanZang_B_Name</t>
  </si>
  <si>
    <t>TangSanZang_B_Des</t>
  </si>
  <si>
    <t>Range</t>
  </si>
  <si>
    <t>0.8, 1, 1.2</t>
  </si>
  <si>
    <t>TangSanZang_Attack</t>
  </si>
  <si>
    <t>TangSanZang_M_Name</t>
  </si>
  <si>
    <t>TangSanZang_M_Des</t>
  </si>
  <si>
    <t>StatModifier</t>
  </si>
  <si>
    <t>NonAttackSkill</t>
  </si>
  <si>
    <t>SameRowAllies</t>
  </si>
  <si>
    <t>TangSanZang_Major</t>
  </si>
  <si>
    <t>TangSanZang_U_Name</t>
  </si>
  <si>
    <t>TangSanZang_U_Des</t>
  </si>
  <si>
    <t>1.5, 1.8, 1.8</t>
  </si>
  <si>
    <t>TangSanZang_Main</t>
  </si>
  <si>
    <t>ZhuBaJie_B_Name</t>
  </si>
  <si>
    <t>ZhuBaJie_B_Des</t>
  </si>
  <si>
    <t>ZhuBaJie_Attack</t>
  </si>
  <si>
    <t>ZhuBaJie_M_Name</t>
  </si>
  <si>
    <t>ZhuBaJie_M_Des</t>
  </si>
  <si>
    <t>BuffShield</t>
  </si>
  <si>
    <t>0.25, 0.3, 0.35</t>
  </si>
  <si>
    <t>Self</t>
  </si>
  <si>
    <t>ZhuBaJie_Major</t>
  </si>
  <si>
    <t>ZhuBaJie_U_Name</t>
  </si>
  <si>
    <t>ZhuBaJie_U_Des</t>
  </si>
  <si>
    <t>1.4, 1.6, 1.8</t>
  </si>
  <si>
    <t>ZhuBaJie_Main</t>
  </si>
  <si>
    <t>ShaWujing_B_Name</t>
  </si>
  <si>
    <t>ShaWujing_B_Des</t>
  </si>
  <si>
    <t>ShaWujing_Attack</t>
  </si>
  <si>
    <t>ShaWujing_M_Name</t>
  </si>
  <si>
    <t>ShaWujing_M_Des</t>
  </si>
  <si>
    <t>Healing</t>
  </si>
  <si>
    <t>1, 1.5, 1.5</t>
  </si>
  <si>
    <t>ShaWujing_Major</t>
  </si>
  <si>
    <t>ShaWujing_U_Name</t>
  </si>
  <si>
    <t>ShaWujing_U_Des</t>
  </si>
  <si>
    <t>ShaWujing_Main</t>
  </si>
  <si>
    <t>DragonKing_B_Name</t>
  </si>
  <si>
    <t>DragonKing_B_Des</t>
  </si>
  <si>
    <t>DragonKing_M_Name</t>
  </si>
  <si>
    <t>DragonKing_M_Des</t>
  </si>
  <si>
    <t>DragonKing_U_Name</t>
  </si>
  <si>
    <t>DragonKing_U_Des</t>
  </si>
  <si>
    <t>ThirdPrinceNezha_B_Name</t>
  </si>
  <si>
    <t>ThirdPrinceNezha_B_Des</t>
  </si>
  <si>
    <t>ThirdPrinceNezha_Attack</t>
  </si>
  <si>
    <t>ThirdPrinceNezha_M_Name</t>
  </si>
  <si>
    <t>ThirdPrinceNezha_M_Des</t>
  </si>
  <si>
    <t>FireRing</t>
  </si>
  <si>
    <t>0.4, 0.5, 0.6</t>
  </si>
  <si>
    <t>ThirdPrinceNezha_Major</t>
  </si>
  <si>
    <t>ThirdPrinceNezha_U_Name</t>
  </si>
  <si>
    <t>ThirdPrinceNezha_U_Des</t>
  </si>
  <si>
    <t>NezhaExecution</t>
  </si>
  <si>
    <t>ThirdPrinceNezha_Main</t>
  </si>
  <si>
    <t>LittleWhiteDragon_B_Name</t>
  </si>
  <si>
    <t>LittleWhiteDragon_B_Des</t>
  </si>
  <si>
    <t>LittleWhiteDragon_Attack</t>
  </si>
  <si>
    <t>LittleWhiteDragon_M_Name</t>
  </si>
  <si>
    <t>LittleWhiteDragon_M_Des</t>
  </si>
  <si>
    <t>ThunderBall</t>
  </si>
  <si>
    <t>LittleWhiteDragon_Major</t>
  </si>
  <si>
    <t>LittleWhiteDragon_U_Name</t>
  </si>
  <si>
    <t>LittleWhiteDragon_U_Des</t>
  </si>
  <si>
    <t>LittleWhiteDragon_Main</t>
  </si>
  <si>
    <t>BullDemonKing_B_Name</t>
  </si>
  <si>
    <t>BullDemonKing_B_Des</t>
  </si>
  <si>
    <t>1, 1.2, 1.5</t>
  </si>
  <si>
    <t>VanguardTiger_Attack</t>
  </si>
  <si>
    <t>BullDemonKing_M_Name</t>
  </si>
  <si>
    <t>BullDemonKing_M_Des</t>
  </si>
  <si>
    <t>0.3, 0.4, 0.5</t>
  </si>
  <si>
    <t>BullDemonKing_Major</t>
  </si>
  <si>
    <t>BullDemonKing_U_Name</t>
  </si>
  <si>
    <t>BullDemonKing_U_Des</t>
  </si>
  <si>
    <t>PoisonBall</t>
  </si>
  <si>
    <t>2.5, 3.0, 3.5</t>
  </si>
  <si>
    <t>BullDemonKing_Main</t>
  </si>
  <si>
    <t>ErlangShen_B_Name</t>
  </si>
  <si>
    <t>ErlangShen_B_Des</t>
  </si>
  <si>
    <t>ErlangShen_M_Name</t>
  </si>
  <si>
    <t>ErlangShen_M_Des</t>
  </si>
  <si>
    <t>MajorAttack</t>
  </si>
  <si>
    <t>1.2, 1.4, 1.6</t>
  </si>
  <si>
    <t>ErlangShen_Major</t>
  </si>
  <si>
    <t>ErlangShen_U_Name</t>
  </si>
  <si>
    <t>ErlangShen_U_Des</t>
  </si>
  <si>
    <t>MoonBlade</t>
  </si>
  <si>
    <t>1.2, 1.5, 1.8</t>
  </si>
  <si>
    <t>ErlangShen_Ultimate</t>
  </si>
  <si>
    <t>GuanyinBodhisattva_B_Name</t>
  </si>
  <si>
    <t>GuanyinBodhisattva_B_Des</t>
  </si>
  <si>
    <t>GuanyinBodhisattva_M_Name</t>
  </si>
  <si>
    <t>GuanyinBodhisattva_M_Des</t>
  </si>
  <si>
    <t>GuanyinBodhisattva_U_Name</t>
  </si>
  <si>
    <t>GuanyinBodhisattva_U_Des</t>
  </si>
  <si>
    <t>VanguardTiger_B_Name</t>
  </si>
  <si>
    <t>VanguardTiger_B_Des</t>
  </si>
  <si>
    <t>1, 1, 1</t>
  </si>
  <si>
    <t>TheBoySage_B_Name</t>
  </si>
  <si>
    <t>TheBoySage_B_Des</t>
  </si>
  <si>
    <t>0.8, 1.0, 1.2</t>
  </si>
  <si>
    <t>TheBoySage_Attack</t>
  </si>
  <si>
    <t>TheBoySage_M_Name</t>
  </si>
  <si>
    <t>TheBoySage_M_Des</t>
  </si>
  <si>
    <t>FireBall</t>
  </si>
  <si>
    <t>TheBoySage_Major</t>
  </si>
  <si>
    <t>TheBoySage_U_Name</t>
  </si>
  <si>
    <t>TheBoySage_U_Des</t>
  </si>
  <si>
    <t>1.0, 1.2, 1.4</t>
  </si>
  <si>
    <t>TheBoySage_Main</t>
  </si>
  <si>
    <t>GoldHornKing_B_Name</t>
  </si>
  <si>
    <t>GoldHornKing_B_Des</t>
  </si>
  <si>
    <t>GoldHornKing_Attack</t>
  </si>
  <si>
    <t>GoldHornKing_M_Name</t>
  </si>
  <si>
    <t>GoldHornKing_M_Des</t>
  </si>
  <si>
    <t>GoldHornKing_Major</t>
  </si>
  <si>
    <t>GoldHornKing_U_Name</t>
  </si>
  <si>
    <t>GoldHornKing_U_Des</t>
  </si>
  <si>
    <t>GoldHornKing_Main</t>
  </si>
  <si>
    <t>SilverHornKing_B_Name</t>
  </si>
  <si>
    <t>SilverHornKing_B_Des</t>
  </si>
  <si>
    <t>SilverHornKing_Attack</t>
  </si>
  <si>
    <t>SilverHornKing_M_Name</t>
  </si>
  <si>
    <t>SilverHornKing_M_Des</t>
  </si>
  <si>
    <t>Torando</t>
  </si>
  <si>
    <t>SilverHornKing_Major</t>
  </si>
  <si>
    <t>SilverHornKing_U_Name</t>
  </si>
  <si>
    <t>SilverHornKing_U_Des</t>
  </si>
  <si>
    <t>YellowWindMonster_B_Name</t>
  </si>
  <si>
    <t>YellowWindMonster_B_Des</t>
  </si>
  <si>
    <t>YellowWindMonster_Attack</t>
  </si>
  <si>
    <t>YellowWindMonster_M_Name</t>
  </si>
  <si>
    <t>YellowWindMonster_M_Des</t>
  </si>
  <si>
    <t>Suriken</t>
  </si>
  <si>
    <t>YellowWindMonster_Major</t>
  </si>
  <si>
    <t>YellowWindMonster_U_Name</t>
  </si>
  <si>
    <t>YellowWindMonster_U_Des</t>
  </si>
  <si>
    <t>DivineWind</t>
  </si>
  <si>
    <t>YellowWindMonster_Main</t>
  </si>
  <si>
    <t>GoldfishDemon_B_Name</t>
  </si>
  <si>
    <t>GoldfishDemon_B_Des</t>
  </si>
  <si>
    <t>GoldfishDemon_Attack</t>
  </si>
  <si>
    <t>GoldfishDemon_M_Name</t>
  </si>
  <si>
    <t>GoldfishDemon_M_Des</t>
  </si>
  <si>
    <t>0.7, 0.85, 1.0</t>
  </si>
  <si>
    <t>3, 3, 3</t>
  </si>
  <si>
    <t>EnemyRow</t>
  </si>
  <si>
    <t>GoldfishDemon_Major</t>
  </si>
  <si>
    <t>GoldfishDemon_U_Name</t>
  </si>
  <si>
    <t>GoldfishDemon_U_Des</t>
  </si>
  <si>
    <t>1.8, 2.0, 2.3</t>
  </si>
  <si>
    <t>4, 4, 4</t>
  </si>
  <si>
    <t>GoldfishDemon_Main</t>
  </si>
  <si>
    <t>None_Skill_Name</t>
  </si>
  <si>
    <t>None_Skill_Des</t>
  </si>
  <si>
    <t>HeavenlySoddier_B_Name</t>
  </si>
  <si>
    <t>HeavenlySoddier_B_Des</t>
  </si>
  <si>
    <t>YoungBufflalo_B_Name</t>
  </si>
  <si>
    <t>YoungBufflalo_B_Des</t>
  </si>
  <si>
    <t>Minions_B_Name</t>
  </si>
  <si>
    <t>Minions_B_Des</t>
  </si>
  <si>
    <t>RatMonster_B_Name</t>
  </si>
  <si>
    <t>RatMonster_B_Des</t>
  </si>
  <si>
    <t>CrabSolider_B_Name</t>
  </si>
  <si>
    <t>CrabSolider_B_Des</t>
  </si>
  <si>
    <t>SquidSolider_B_Name</t>
  </si>
  <si>
    <t>SquidSolider_B_Des</t>
  </si>
  <si>
    <t>Benborba_B_Name</t>
  </si>
  <si>
    <t>Benborba_B_Des</t>
  </si>
  <si>
    <t>Baborben_B_Name</t>
  </si>
  <si>
    <t>Baborben_B_Des</t>
  </si>
  <si>
    <t>LiJing_B_Name</t>
  </si>
  <si>
    <t>LiJing_B_Des</t>
  </si>
  <si>
    <t>LiJing_Attack</t>
  </si>
  <si>
    <t>LiJing_M_Name</t>
  </si>
  <si>
    <t>LiJing_M_Des</t>
  </si>
  <si>
    <t>0.15, 0.2, 0.25</t>
  </si>
  <si>
    <t>4, 4, 3</t>
  </si>
  <si>
    <t>LiJing_Major</t>
  </si>
  <si>
    <t>LiJing_U_Name</t>
  </si>
  <si>
    <t>LiJing_U_Des</t>
  </si>
  <si>
    <t>2.2, 2.5, 3.0</t>
  </si>
  <si>
    <t>5, 5, 4</t>
  </si>
  <si>
    <t>LiJing_Ultimate</t>
  </si>
  <si>
    <t>MarshalTianpeng_B_Name</t>
  </si>
  <si>
    <t>MarshalTianpeng_B_Des</t>
  </si>
  <si>
    <t>MarshalTianpeng_M_Name</t>
  </si>
  <si>
    <t>MarshalTianpeng_M_Des</t>
  </si>
  <si>
    <t>MarshalTianpeng_U_Name</t>
  </si>
  <si>
    <t>MarshalTianpeng_U_Des</t>
  </si>
  <si>
    <t>ThirdDragonPrince_B_Name</t>
  </si>
  <si>
    <t>ThirdDragonPrince_B_Des</t>
  </si>
  <si>
    <t>0.9, 1.0, 1.2</t>
  </si>
  <si>
    <t>ThirdDragonPrince_M_Name</t>
  </si>
  <si>
    <t>ThirdDragonPrince_M_Des</t>
  </si>
  <si>
    <t>FrozenBall</t>
  </si>
  <si>
    <t>ThirdDragonPrince_Major</t>
  </si>
  <si>
    <t>ThirdDragonPrince_U_Name</t>
  </si>
  <si>
    <t>ThirdDragonPrince_U_Des</t>
  </si>
  <si>
    <t>ThirdDragonPrince_Ultimate</t>
  </si>
  <si>
    <t>AttributeType</t>
  </si>
  <si>
    <t>StatLink</t>
  </si>
  <si>
    <t>StartPercent</t>
  </si>
  <si>
    <t>1.0</t>
  </si>
  <si>
    <t>Level</t>
  </si>
  <si>
    <t>Curve_R</t>
  </si>
  <si>
    <t>Curve_SR</t>
  </si>
  <si>
    <t>Curve_SSR</t>
  </si>
  <si>
    <t>Curve_UR</t>
  </si>
  <si>
    <t>Curve_R_up</t>
  </si>
  <si>
    <t>Curve_SR_up</t>
  </si>
  <si>
    <t>Curve_SSR_up</t>
  </si>
  <si>
    <t>Curve_UR_up</t>
  </si>
  <si>
    <t>exp_base</t>
  </si>
  <si>
    <t>exp_exponent</t>
  </si>
  <si>
    <t>Tier</t>
  </si>
  <si>
    <t>Required_Level</t>
  </si>
  <si>
    <t>Unlock_Max_Level</t>
  </si>
  <si>
    <t>Cost_Coin</t>
  </si>
  <si>
    <t>ItemID_01</t>
  </si>
  <si>
    <t>Item_01_Qty</t>
  </si>
  <si>
    <t>ascension_r</t>
  </si>
  <si>
    <t>ascension_sr</t>
  </si>
  <si>
    <t>ascension_ssr</t>
  </si>
  <si>
    <t>ascension_ur</t>
  </si>
  <si>
    <t>ascension_common</t>
  </si>
  <si>
    <t>ascension_uncommon</t>
  </si>
  <si>
    <t>ascension_rare</t>
  </si>
  <si>
    <t>ascension_legend</t>
  </si>
  <si>
    <t>Quanlity</t>
  </si>
  <si>
    <t>starup_r</t>
  </si>
  <si>
    <t>starup_sr</t>
  </si>
  <si>
    <t>starup_ssr</t>
  </si>
  <si>
    <t>starup_ur</t>
  </si>
  <si>
    <t>BackGround</t>
  </si>
  <si>
    <t>Reward</t>
  </si>
  <si>
    <t>ExpReward</t>
  </si>
  <si>
    <t>Tutorial_Default</t>
  </si>
  <si>
    <t>STR_BATTLE_TUTORIAL</t>
  </si>
  <si>
    <t>STR_BATTLE_TUTORIAL_DES</t>
  </si>
  <si>
    <t>Default</t>
  </si>
  <si>
    <t>Default_01</t>
  </si>
  <si>
    <t>Battle_ThirdDragonPrince</t>
  </si>
  <si>
    <t>STR_BATTLE_THIRD_DRAGON_PRINCE</t>
  </si>
  <si>
    <t>STR_BATTLE_THIRD_DRAGON_PRINCE_DES</t>
  </si>
  <si>
    <t>Battle_GoldfishDemon</t>
  </si>
  <si>
    <t>STR_BATTLE_GOLD_FISH_DEMON</t>
  </si>
  <si>
    <t>STR_BATTLE_GOLD_FISH_DEMON_DES</t>
  </si>
  <si>
    <t>Battle_TheBoySage</t>
  </si>
  <si>
    <t>STR_BATTLE_THE_BOY_SAGE</t>
  </si>
  <si>
    <t>STR_BATTLE_THE_BOY_SAGE_DES</t>
  </si>
  <si>
    <t>Battle_BullDemonKing</t>
  </si>
  <si>
    <t>STR_BATTLE_BULL_DEMON_KING</t>
  </si>
  <si>
    <t>STR_BATTLE_BULL_DEMON_KING_DES</t>
  </si>
  <si>
    <t>Battle_YellowWindMonster</t>
  </si>
  <si>
    <t>STR_BATTLE_YELLOW_WIND_MONSTER</t>
  </si>
  <si>
    <t>STR_BATTLE_YELLOW_WIND_MONSTER_DES</t>
  </si>
  <si>
    <t>Battle_GoldHornKing</t>
  </si>
  <si>
    <t>STR_BATTLE_GOLD_HORN_KING</t>
  </si>
  <si>
    <t>STR_BATTLE_GOLD_HORN_KING_DES</t>
  </si>
  <si>
    <t>Battle_LiJing_Boss</t>
  </si>
  <si>
    <t>STR_BATTLE_LI_JING_BOSS</t>
  </si>
  <si>
    <t>STR_BATTLE_LI_JING_BOSS_DES</t>
  </si>
  <si>
    <t>Battle_ErlangShen_Boss</t>
  </si>
  <si>
    <t>STR_BATTLE_ERLANG_SHEN_BOSS</t>
  </si>
  <si>
    <t>STR_BATTLE_ERLANG_SHEN_BOSS_DES</t>
  </si>
  <si>
    <t>BattleID</t>
  </si>
  <si>
    <t>Slot</t>
  </si>
  <si>
    <t>Enemy_ID</t>
  </si>
  <si>
    <t>Weapon_ID</t>
  </si>
  <si>
    <t>Weapon_Level</t>
  </si>
  <si>
    <t>reward_id</t>
  </si>
  <si>
    <t>item_01</t>
  </si>
  <si>
    <t>amount_01</t>
  </si>
  <si>
    <t>item_02</t>
  </si>
  <si>
    <t>amount_02</t>
  </si>
  <si>
    <t>item_03</t>
  </si>
  <si>
    <t>amount_03</t>
  </si>
  <si>
    <t>item_04</t>
  </si>
  <si>
    <t>amount_04</t>
  </si>
  <si>
    <t>Multiplier</t>
  </si>
  <si>
    <t>TierIndex</t>
  </si>
  <si>
    <t>Role</t>
  </si>
  <si>
    <t>SPD</t>
  </si>
  <si>
    <t>CR</t>
  </si>
  <si>
    <t>CD</t>
  </si>
  <si>
    <t>Shred</t>
  </si>
  <si>
    <t>Pen</t>
  </si>
  <si>
    <t>Res</t>
  </si>
  <si>
    <t>HP_Inc</t>
  </si>
  <si>
    <t>ATK_Inc</t>
  </si>
  <si>
    <t>DEF_Inc</t>
  </si>
  <si>
    <t>SPD_Inc</t>
  </si>
  <si>
    <t>CR_Inc</t>
  </si>
  <si>
    <t>CD_Inc</t>
  </si>
  <si>
    <t>Shred_Inc</t>
  </si>
  <si>
    <t>Pen_Inc</t>
  </si>
  <si>
    <t>Res_Inc</t>
  </si>
  <si>
    <t>HP_ClassMult</t>
  </si>
  <si>
    <t>ATK_ClassMult</t>
  </si>
  <si>
    <t>DEF_ClassMult</t>
  </si>
  <si>
    <t>BossResBonus</t>
  </si>
  <si>
    <t>HP_BiasMult</t>
  </si>
  <si>
    <t>ATK_BiasMult</t>
  </si>
  <si>
    <t>DEF_BiasMult</t>
  </si>
  <si>
    <t>SPD_Add</t>
  </si>
  <si>
    <t>CR_Add</t>
  </si>
  <si>
    <t>CD_Add</t>
  </si>
  <si>
    <t>Shred_Add</t>
  </si>
  <si>
    <t>Pen_Add</t>
  </si>
  <si>
    <t>Res_Add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</si>
</sst>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/>
    <xf numFmtId="0" fontId="0" fillId="3" borderId="0" xfId="0" applyFill="1"/>
    <xf numFmtId="0" fontId="0" fillId="9" borderId="0" xfId="0" applyFill="1"/>
    <xf numFmtId="0" fontId="0" fillId="5" borderId="0" xfId="0" applyFill="1"/>
    <xf numFmtId="0" fontId="0" fillId="4" borderId="0" xfId="0" applyFill="1"/>
    <xf numFmtId="0" fontId="0" fillId="6" borderId="0" xfId="0" applyFill="1" applyAlignment="1">
      <alignment horizontal="center" vertical="center"/>
    </xf>
    <xf numFmtId="0" fontId="0" fillId="10" borderId="0" xfId="0" applyFill="1"/>
    <xf numFmtId="0" fontId="0" fillId="11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6" borderId="0" xfId="0" applyFill="1"/>
    <xf numFmtId="0" fontId="0" fillId="15" borderId="0" xfId="0" applyFill="1"/>
    <xf numFmtId="0" fontId="0" fillId="16" borderId="0" xfId="0" applyFill="1"/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17" borderId="0" xfId="0" applyFill="1"/>
    <xf numFmtId="0" fontId="1" fillId="16" borderId="0" xfId="0" applyFont="1" applyFill="1" applyAlignment="1">
      <alignment vertical="center" readingOrder="1"/>
    </xf>
    <xf numFmtId="0" fontId="1" fillId="0" borderId="0" xfId="0" applyFont="1" applyAlignment="1">
      <alignment vertical="center" readingOrder="1"/>
    </xf>
    <xf numFmtId="0" fontId="0" fillId="18" borderId="0" xfId="0" applyFill="1" applyAlignment="1">
      <alignment horizontal="center" vertical="center"/>
    </xf>
    <xf numFmtId="0" fontId="0" fillId="18" borderId="0" xfId="0" applyFill="1"/>
    <xf numFmtId="0" fontId="0" fillId="2" borderId="0" xfId="0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8" borderId="0" xfId="0" applyFill="1"/>
    <xf numFmtId="0" fontId="0" fillId="0" borderId="0" xfId="0" applyAlignment="1">
      <alignment horizontal="left"/>
    </xf>
    <xf numFmtId="0" fontId="0" fillId="19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1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zoomScale="115" zoomScaleNormal="115" workbookViewId="0">
      <selection activeCell="A18" sqref="A18"/>
    </sheetView>
  </sheetViews>
  <sheetFormatPr defaultRowHeight="15" x14ac:dyDescent="0.25"/>
  <cols>
    <col min="1" max="1" width="26" style="35" bestFit="1" customWidth="1"/>
    <col min="2" max="2" width="38.7109375" style="35" bestFit="1" customWidth="1"/>
    <col min="3" max="3" width="33.42578125" style="35" bestFit="1" customWidth="1"/>
    <col min="4" max="4" width="37.5703125" style="35" bestFit="1" customWidth="1"/>
    <col min="5" max="5" width="10.140625" style="35" bestFit="1" customWidth="1"/>
    <col min="7" max="7" width="10.85546875" style="3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0" t="s">
        <v>7</v>
      </c>
      <c r="B2" t="s">
        <v>8</v>
      </c>
      <c r="C2" t="s">
        <v>9</v>
      </c>
      <c r="D2" t="s">
        <v>10</v>
      </c>
      <c r="E2" s="36" t="s">
        <v>11</v>
      </c>
      <c r="F2" s="2" t="s">
        <v>12</v>
      </c>
    </row>
    <row r="3" spans="1:7" x14ac:dyDescent="0.25">
      <c r="A3" s="10" t="s">
        <v>13</v>
      </c>
      <c r="B3" t="s">
        <v>14</v>
      </c>
      <c r="C3" t="s">
        <v>15</v>
      </c>
      <c r="D3" t="s">
        <v>16</v>
      </c>
      <c r="E3" s="36" t="s">
        <v>11</v>
      </c>
      <c r="F3" s="2" t="s">
        <v>12</v>
      </c>
    </row>
    <row r="4" spans="1:7" x14ac:dyDescent="0.25">
      <c r="A4" s="10" t="s">
        <v>17</v>
      </c>
      <c r="B4" t="s">
        <v>18</v>
      </c>
      <c r="C4" t="s">
        <v>19</v>
      </c>
      <c r="D4" t="s">
        <v>20</v>
      </c>
      <c r="E4" s="36" t="s">
        <v>11</v>
      </c>
      <c r="F4" s="2" t="s">
        <v>12</v>
      </c>
    </row>
    <row r="5" spans="1:7" x14ac:dyDescent="0.25">
      <c r="A5" s="10" t="s">
        <v>21</v>
      </c>
      <c r="B5" t="s">
        <v>22</v>
      </c>
      <c r="C5" t="s">
        <v>23</v>
      </c>
      <c r="D5" t="s">
        <v>24</v>
      </c>
      <c r="E5" s="36" t="s">
        <v>11</v>
      </c>
      <c r="F5" s="3" t="s">
        <v>25</v>
      </c>
    </row>
    <row r="6" spans="1:7" x14ac:dyDescent="0.25">
      <c r="A6" s="10" t="s">
        <v>26</v>
      </c>
      <c r="B6" t="s">
        <v>27</v>
      </c>
      <c r="C6" t="s">
        <v>28</v>
      </c>
      <c r="D6" t="s">
        <v>29</v>
      </c>
      <c r="E6" s="36" t="s">
        <v>11</v>
      </c>
      <c r="F6" s="2" t="s">
        <v>12</v>
      </c>
    </row>
    <row r="7" spans="1:7" x14ac:dyDescent="0.25">
      <c r="A7" s="10" t="s">
        <v>30</v>
      </c>
      <c r="B7" t="s">
        <v>31</v>
      </c>
      <c r="C7" t="s">
        <v>32</v>
      </c>
      <c r="D7" t="s">
        <v>33</v>
      </c>
      <c r="E7" s="36" t="s">
        <v>11</v>
      </c>
      <c r="F7" s="3" t="s">
        <v>25</v>
      </c>
    </row>
    <row r="8" spans="1:7" x14ac:dyDescent="0.25">
      <c r="A8" s="10" t="s">
        <v>34</v>
      </c>
      <c r="B8" t="s">
        <v>35</v>
      </c>
      <c r="C8" t="s">
        <v>36</v>
      </c>
      <c r="D8" t="s">
        <v>37</v>
      </c>
      <c r="E8" s="36" t="s">
        <v>11</v>
      </c>
      <c r="F8" s="4" t="s">
        <v>38</v>
      </c>
    </row>
    <row r="9" spans="1:7" x14ac:dyDescent="0.25">
      <c r="A9" s="10" t="s">
        <v>39</v>
      </c>
      <c r="B9" t="s">
        <v>40</v>
      </c>
      <c r="C9" t="s">
        <v>41</v>
      </c>
      <c r="D9" t="s">
        <v>42</v>
      </c>
      <c r="E9" s="36" t="s">
        <v>11</v>
      </c>
      <c r="F9" s="5" t="s">
        <v>43</v>
      </c>
    </row>
    <row r="10" spans="1:7" x14ac:dyDescent="0.25">
      <c r="A10" s="10" t="s">
        <v>44</v>
      </c>
      <c r="B10" t="s">
        <v>45</v>
      </c>
      <c r="C10" t="s">
        <v>46</v>
      </c>
      <c r="D10" t="s">
        <v>47</v>
      </c>
      <c r="E10" s="36" t="s">
        <v>11</v>
      </c>
      <c r="F10" s="6" t="s">
        <v>48</v>
      </c>
    </row>
    <row r="11" spans="1:7" x14ac:dyDescent="0.25">
      <c r="A11" s="10" t="s">
        <v>49</v>
      </c>
      <c r="B11" t="s">
        <v>50</v>
      </c>
      <c r="C11" t="s">
        <v>51</v>
      </c>
      <c r="D11" t="s">
        <v>52</v>
      </c>
      <c r="E11" s="36" t="s">
        <v>11</v>
      </c>
      <c r="F11" s="4" t="s">
        <v>38</v>
      </c>
    </row>
    <row r="12" spans="1:7" x14ac:dyDescent="0.25">
      <c r="A12" s="10" t="s">
        <v>53</v>
      </c>
      <c r="B12" t="s">
        <v>54</v>
      </c>
      <c r="C12" t="s">
        <v>55</v>
      </c>
      <c r="D12" t="s">
        <v>56</v>
      </c>
      <c r="E12" s="36" t="s">
        <v>11</v>
      </c>
      <c r="F12" s="6" t="s">
        <v>48</v>
      </c>
    </row>
    <row r="13" spans="1:7" x14ac:dyDescent="0.25">
      <c r="A13" s="10" t="s">
        <v>57</v>
      </c>
      <c r="B13" t="s">
        <v>58</v>
      </c>
      <c r="C13" t="s">
        <v>59</v>
      </c>
      <c r="D13" t="s">
        <v>60</v>
      </c>
      <c r="E13" s="36" t="s">
        <v>11</v>
      </c>
      <c r="F13" s="2" t="s">
        <v>12</v>
      </c>
    </row>
    <row r="14" spans="1:7" x14ac:dyDescent="0.25">
      <c r="A14" s="10" t="s">
        <v>61</v>
      </c>
      <c r="B14" t="s">
        <v>62</v>
      </c>
      <c r="C14" t="s">
        <v>63</v>
      </c>
      <c r="D14" t="s">
        <v>64</v>
      </c>
      <c r="E14" s="36" t="s">
        <v>11</v>
      </c>
      <c r="F14" s="2" t="s">
        <v>12</v>
      </c>
    </row>
    <row r="15" spans="1:7" x14ac:dyDescent="0.25">
      <c r="A15" s="10" t="s">
        <v>65</v>
      </c>
      <c r="B15" t="s">
        <v>66</v>
      </c>
      <c r="C15" t="s">
        <v>67</v>
      </c>
      <c r="D15" t="s">
        <v>68</v>
      </c>
      <c r="E15" s="36" t="s">
        <v>11</v>
      </c>
      <c r="F15" s="5" t="s">
        <v>43</v>
      </c>
    </row>
    <row r="16" spans="1:7" x14ac:dyDescent="0.25">
      <c r="A16" s="10" t="s">
        <v>69</v>
      </c>
      <c r="B16" t="s">
        <v>50</v>
      </c>
      <c r="C16" t="s">
        <v>51</v>
      </c>
      <c r="D16" t="s">
        <v>52</v>
      </c>
      <c r="E16" s="36" t="s">
        <v>11</v>
      </c>
      <c r="F16" s="5" t="s">
        <v>43</v>
      </c>
    </row>
    <row r="17" spans="1:6" x14ac:dyDescent="0.25">
      <c r="A17" s="10" t="s">
        <v>70</v>
      </c>
      <c r="B17" t="s">
        <v>71</v>
      </c>
      <c r="C17" t="s">
        <v>72</v>
      </c>
      <c r="D17" t="s">
        <v>73</v>
      </c>
      <c r="E17" s="36" t="s">
        <v>11</v>
      </c>
      <c r="F17" s="2" t="s">
        <v>43</v>
      </c>
    </row>
    <row r="18" spans="1:6" x14ac:dyDescent="0.25">
      <c r="A18" s="10" t="s">
        <v>74</v>
      </c>
      <c r="B18" t="s">
        <v>75</v>
      </c>
      <c r="C18" t="s">
        <v>76</v>
      </c>
      <c r="D18" t="s">
        <v>77</v>
      </c>
      <c r="E18" t="s">
        <v>11</v>
      </c>
      <c r="F18" s="2" t="s">
        <v>12</v>
      </c>
    </row>
    <row r="19" spans="1:6" x14ac:dyDescent="0.25">
      <c r="A19" s="10" t="s">
        <v>78</v>
      </c>
      <c r="B19" t="s">
        <v>79</v>
      </c>
      <c r="C19" t="s">
        <v>80</v>
      </c>
      <c r="D19" t="s">
        <v>81</v>
      </c>
      <c r="E19" t="s">
        <v>11</v>
      </c>
      <c r="F19" s="2" t="s">
        <v>12</v>
      </c>
    </row>
    <row r="20" spans="1:6" x14ac:dyDescent="0.25">
      <c r="A20" s="9" t="s">
        <v>82</v>
      </c>
      <c r="B20" t="s">
        <v>83</v>
      </c>
      <c r="C20" t="s">
        <v>84</v>
      </c>
      <c r="D20" t="s">
        <v>85</v>
      </c>
      <c r="E20" s="36" t="s">
        <v>86</v>
      </c>
      <c r="F20" s="5" t="s">
        <v>43</v>
      </c>
    </row>
    <row r="21" spans="1:6" x14ac:dyDescent="0.25">
      <c r="A21" s="9" t="s">
        <v>87</v>
      </c>
      <c r="B21" t="s">
        <v>88</v>
      </c>
      <c r="C21" t="s">
        <v>89</v>
      </c>
      <c r="D21" t="s">
        <v>89</v>
      </c>
      <c r="E21" s="36" t="s">
        <v>86</v>
      </c>
      <c r="F21" s="6" t="s">
        <v>48</v>
      </c>
    </row>
    <row r="22" spans="1:6" x14ac:dyDescent="0.25">
      <c r="A22" s="9" t="s">
        <v>90</v>
      </c>
      <c r="B22" t="s">
        <v>91</v>
      </c>
      <c r="C22" t="s">
        <v>92</v>
      </c>
      <c r="D22" t="s">
        <v>93</v>
      </c>
      <c r="E22" s="36" t="s">
        <v>86</v>
      </c>
      <c r="F22" s="4" t="s">
        <v>38</v>
      </c>
    </row>
    <row r="23" spans="1:6" x14ac:dyDescent="0.25">
      <c r="A23" s="9" t="s">
        <v>94</v>
      </c>
      <c r="B23" t="s">
        <v>95</v>
      </c>
      <c r="C23" t="s">
        <v>96</v>
      </c>
      <c r="D23" t="s">
        <v>97</v>
      </c>
      <c r="E23" s="36" t="s">
        <v>86</v>
      </c>
      <c r="F23" s="4" t="s">
        <v>38</v>
      </c>
    </row>
    <row r="24" spans="1:6" x14ac:dyDescent="0.25">
      <c r="A24" s="9" t="s">
        <v>98</v>
      </c>
      <c r="B24" t="s">
        <v>99</v>
      </c>
      <c r="C24" t="s">
        <v>100</v>
      </c>
      <c r="D24" t="s">
        <v>101</v>
      </c>
      <c r="E24" s="36" t="s">
        <v>86</v>
      </c>
      <c r="F24" s="2" t="s">
        <v>12</v>
      </c>
    </row>
    <row r="25" spans="1:6" x14ac:dyDescent="0.25">
      <c r="A25" s="9" t="s">
        <v>102</v>
      </c>
      <c r="B25" t="s">
        <v>103</v>
      </c>
      <c r="C25" t="s">
        <v>104</v>
      </c>
      <c r="D25" t="s">
        <v>105</v>
      </c>
      <c r="E25" s="36" t="s">
        <v>86</v>
      </c>
      <c r="F25" s="3" t="s">
        <v>25</v>
      </c>
    </row>
    <row r="26" spans="1:6" x14ac:dyDescent="0.25">
      <c r="A26" s="9" t="s">
        <v>106</v>
      </c>
      <c r="B26" t="s">
        <v>107</v>
      </c>
      <c r="C26" t="s">
        <v>108</v>
      </c>
      <c r="D26" t="s">
        <v>109</v>
      </c>
      <c r="E26" s="36" t="s">
        <v>86</v>
      </c>
      <c r="F26" s="2" t="s">
        <v>12</v>
      </c>
    </row>
    <row r="27" spans="1:6" x14ac:dyDescent="0.25">
      <c r="A27" s="9" t="s">
        <v>110</v>
      </c>
      <c r="B27" t="s">
        <v>111</v>
      </c>
      <c r="C27" t="s">
        <v>112</v>
      </c>
      <c r="D27" t="s">
        <v>113</v>
      </c>
      <c r="E27" s="36" t="s">
        <v>86</v>
      </c>
      <c r="F27" s="4" t="s">
        <v>38</v>
      </c>
    </row>
    <row r="28" spans="1:6" x14ac:dyDescent="0.25">
      <c r="A28" s="9" t="s">
        <v>114</v>
      </c>
      <c r="B28" t="s">
        <v>115</v>
      </c>
      <c r="C28" t="s">
        <v>116</v>
      </c>
      <c r="D28" t="s">
        <v>117</v>
      </c>
      <c r="E28" s="36" t="s">
        <v>86</v>
      </c>
      <c r="F28" s="4" t="s">
        <v>38</v>
      </c>
    </row>
    <row r="29" spans="1:6" x14ac:dyDescent="0.25">
      <c r="A29" s="9" t="s">
        <v>118</v>
      </c>
      <c r="B29" t="s">
        <v>119</v>
      </c>
      <c r="C29" t="s">
        <v>120</v>
      </c>
      <c r="D29" t="s">
        <v>121</v>
      </c>
      <c r="E29" s="36" t="s">
        <v>86</v>
      </c>
      <c r="F29" s="4" t="s">
        <v>38</v>
      </c>
    </row>
    <row r="30" spans="1:6" x14ac:dyDescent="0.25">
      <c r="A30" t="s">
        <v>122</v>
      </c>
      <c r="B30" t="s">
        <v>123</v>
      </c>
      <c r="C30" t="s">
        <v>124</v>
      </c>
      <c r="D30" t="s">
        <v>125</v>
      </c>
      <c r="E30" s="36" t="s">
        <v>126</v>
      </c>
      <c r="F30" s="2" t="s">
        <v>12</v>
      </c>
    </row>
    <row r="31" spans="1:6" x14ac:dyDescent="0.25">
      <c r="A31" t="s">
        <v>127</v>
      </c>
      <c r="B31" t="s">
        <v>128</v>
      </c>
      <c r="C31" t="s">
        <v>129</v>
      </c>
      <c r="D31" t="s">
        <v>130</v>
      </c>
      <c r="E31" s="36" t="s">
        <v>126</v>
      </c>
      <c r="F31" s="2" t="s">
        <v>12</v>
      </c>
    </row>
    <row r="32" spans="1:6" x14ac:dyDescent="0.25">
      <c r="A32" t="s">
        <v>131</v>
      </c>
      <c r="B32" t="s">
        <v>132</v>
      </c>
      <c r="C32" t="s">
        <v>133</v>
      </c>
      <c r="D32" t="s">
        <v>134</v>
      </c>
      <c r="E32" s="36" t="s">
        <v>126</v>
      </c>
      <c r="F32" s="2" t="s">
        <v>12</v>
      </c>
    </row>
    <row r="33" spans="1:6" x14ac:dyDescent="0.25">
      <c r="A33" t="s">
        <v>135</v>
      </c>
      <c r="B33" t="s">
        <v>136</v>
      </c>
      <c r="C33" t="s">
        <v>137</v>
      </c>
      <c r="D33" t="s">
        <v>138</v>
      </c>
      <c r="E33" s="36" t="s">
        <v>126</v>
      </c>
      <c r="F33" s="2" t="s">
        <v>12</v>
      </c>
    </row>
    <row r="34" spans="1:6" x14ac:dyDescent="0.25">
      <c r="A34" s="11" t="s">
        <v>139</v>
      </c>
      <c r="B34" t="s">
        <v>140</v>
      </c>
      <c r="C34" t="s">
        <v>141</v>
      </c>
      <c r="D34" t="s">
        <v>142</v>
      </c>
      <c r="E34" s="36" t="s">
        <v>143</v>
      </c>
      <c r="F34" s="2" t="s">
        <v>12</v>
      </c>
    </row>
    <row r="35" spans="1:6" x14ac:dyDescent="0.25">
      <c r="A35" s="11" t="s">
        <v>144</v>
      </c>
      <c r="B35" t="s">
        <v>145</v>
      </c>
      <c r="C35" t="s">
        <v>146</v>
      </c>
      <c r="D35" t="s">
        <v>142</v>
      </c>
      <c r="E35" s="36" t="s">
        <v>143</v>
      </c>
      <c r="F35" s="2" t="s">
        <v>12</v>
      </c>
    </row>
    <row r="36" spans="1:6" x14ac:dyDescent="0.25">
      <c r="A36" s="11" t="s">
        <v>147</v>
      </c>
      <c r="B36" t="s">
        <v>148</v>
      </c>
      <c r="C36" t="s">
        <v>149</v>
      </c>
      <c r="D36" t="s">
        <v>142</v>
      </c>
      <c r="E36" s="36" t="s">
        <v>143</v>
      </c>
      <c r="F36" s="2" t="s">
        <v>12</v>
      </c>
    </row>
    <row r="37" spans="1:6" x14ac:dyDescent="0.25">
      <c r="A37" s="11" t="s">
        <v>150</v>
      </c>
      <c r="B37" t="s">
        <v>151</v>
      </c>
      <c r="C37" t="s">
        <v>152</v>
      </c>
      <c r="D37" t="s">
        <v>142</v>
      </c>
      <c r="E37" s="36" t="s">
        <v>143</v>
      </c>
      <c r="F37" s="2" t="s">
        <v>12</v>
      </c>
    </row>
    <row r="38" spans="1:6" x14ac:dyDescent="0.25">
      <c r="A38" s="11" t="s">
        <v>153</v>
      </c>
      <c r="B38" t="s">
        <v>154</v>
      </c>
      <c r="C38" t="s">
        <v>155</v>
      </c>
      <c r="D38" t="s">
        <v>142</v>
      </c>
      <c r="E38" s="36" t="s">
        <v>143</v>
      </c>
      <c r="F38" s="2" t="s">
        <v>12</v>
      </c>
    </row>
    <row r="39" spans="1:6" x14ac:dyDescent="0.25">
      <c r="A39" s="11" t="s">
        <v>156</v>
      </c>
      <c r="B39" t="s">
        <v>157</v>
      </c>
      <c r="C39" t="s">
        <v>158</v>
      </c>
      <c r="D39" t="s">
        <v>142</v>
      </c>
      <c r="E39" s="36" t="s">
        <v>143</v>
      </c>
      <c r="F39" s="2" t="s">
        <v>12</v>
      </c>
    </row>
    <row r="40" spans="1:6" x14ac:dyDescent="0.25">
      <c r="A40" s="11" t="s">
        <v>159</v>
      </c>
      <c r="B40" t="s">
        <v>160</v>
      </c>
      <c r="C40" t="s">
        <v>161</v>
      </c>
      <c r="D40" t="s">
        <v>142</v>
      </c>
      <c r="E40" s="36" t="s">
        <v>143</v>
      </c>
      <c r="F40" s="2" t="s">
        <v>12</v>
      </c>
    </row>
    <row r="41" spans="1:6" x14ac:dyDescent="0.25">
      <c r="A41" s="11" t="s">
        <v>162</v>
      </c>
      <c r="B41" t="s">
        <v>163</v>
      </c>
      <c r="C41" t="s">
        <v>141</v>
      </c>
      <c r="D41" t="s">
        <v>142</v>
      </c>
      <c r="E41" s="36" t="s">
        <v>143</v>
      </c>
      <c r="F41" s="5" t="s">
        <v>43</v>
      </c>
    </row>
    <row r="42" spans="1:6" x14ac:dyDescent="0.25">
      <c r="A42" s="11" t="s">
        <v>164</v>
      </c>
      <c r="B42" t="s">
        <v>165</v>
      </c>
      <c r="C42" t="s">
        <v>146</v>
      </c>
      <c r="D42" t="s">
        <v>142</v>
      </c>
      <c r="E42" s="36" t="s">
        <v>143</v>
      </c>
      <c r="F42" s="5" t="s">
        <v>43</v>
      </c>
    </row>
    <row r="43" spans="1:6" x14ac:dyDescent="0.25">
      <c r="A43" s="11" t="s">
        <v>166</v>
      </c>
      <c r="B43" t="s">
        <v>167</v>
      </c>
      <c r="C43" t="s">
        <v>149</v>
      </c>
      <c r="D43" t="s">
        <v>142</v>
      </c>
      <c r="E43" s="36" t="s">
        <v>143</v>
      </c>
      <c r="F43" s="5" t="s">
        <v>43</v>
      </c>
    </row>
    <row r="44" spans="1:6" x14ac:dyDescent="0.25">
      <c r="A44" s="11" t="s">
        <v>168</v>
      </c>
      <c r="B44" t="s">
        <v>169</v>
      </c>
      <c r="C44" t="s">
        <v>152</v>
      </c>
      <c r="D44" t="s">
        <v>142</v>
      </c>
      <c r="E44" s="36" t="s">
        <v>143</v>
      </c>
      <c r="F44" s="5" t="s">
        <v>43</v>
      </c>
    </row>
    <row r="45" spans="1:6" x14ac:dyDescent="0.25">
      <c r="A45" s="11" t="s">
        <v>170</v>
      </c>
      <c r="B45" t="s">
        <v>171</v>
      </c>
      <c r="C45" t="s">
        <v>155</v>
      </c>
      <c r="D45" t="s">
        <v>142</v>
      </c>
      <c r="E45" s="36" t="s">
        <v>143</v>
      </c>
      <c r="F45" s="5" t="s">
        <v>43</v>
      </c>
    </row>
    <row r="46" spans="1:6" x14ac:dyDescent="0.25">
      <c r="A46" s="11" t="s">
        <v>172</v>
      </c>
      <c r="B46" t="s">
        <v>173</v>
      </c>
      <c r="C46" t="s">
        <v>158</v>
      </c>
      <c r="D46" t="s">
        <v>142</v>
      </c>
      <c r="E46" s="36" t="s">
        <v>143</v>
      </c>
      <c r="F46" s="5" t="s">
        <v>43</v>
      </c>
    </row>
    <row r="47" spans="1:6" x14ac:dyDescent="0.25">
      <c r="A47" s="11" t="s">
        <v>174</v>
      </c>
      <c r="B47" t="s">
        <v>175</v>
      </c>
      <c r="C47" t="s">
        <v>161</v>
      </c>
      <c r="D47" t="s">
        <v>142</v>
      </c>
      <c r="E47" s="36" t="s">
        <v>143</v>
      </c>
      <c r="F47" s="5" t="s">
        <v>43</v>
      </c>
    </row>
    <row r="48" spans="1:6" x14ac:dyDescent="0.25">
      <c r="A48" s="11" t="s">
        <v>176</v>
      </c>
      <c r="B48" t="s">
        <v>177</v>
      </c>
      <c r="C48" t="s">
        <v>141</v>
      </c>
      <c r="D48" t="s">
        <v>142</v>
      </c>
      <c r="E48" s="36" t="s">
        <v>143</v>
      </c>
      <c r="F48" s="3" t="s">
        <v>25</v>
      </c>
    </row>
    <row r="49" spans="1:6" x14ac:dyDescent="0.25">
      <c r="A49" s="11" t="s">
        <v>178</v>
      </c>
      <c r="B49" t="s">
        <v>179</v>
      </c>
      <c r="C49" t="s">
        <v>146</v>
      </c>
      <c r="D49" t="s">
        <v>142</v>
      </c>
      <c r="E49" s="36" t="s">
        <v>143</v>
      </c>
      <c r="F49" s="3" t="s">
        <v>25</v>
      </c>
    </row>
    <row r="50" spans="1:6" x14ac:dyDescent="0.25">
      <c r="A50" s="11" t="s">
        <v>180</v>
      </c>
      <c r="B50" t="s">
        <v>181</v>
      </c>
      <c r="C50" t="s">
        <v>149</v>
      </c>
      <c r="D50" t="s">
        <v>142</v>
      </c>
      <c r="E50" s="36" t="s">
        <v>143</v>
      </c>
      <c r="F50" s="3" t="s">
        <v>25</v>
      </c>
    </row>
    <row r="51" spans="1:6" x14ac:dyDescent="0.25">
      <c r="A51" s="11" t="s">
        <v>182</v>
      </c>
      <c r="B51" t="s">
        <v>183</v>
      </c>
      <c r="C51" t="s">
        <v>152</v>
      </c>
      <c r="D51" t="s">
        <v>142</v>
      </c>
      <c r="E51" s="36" t="s">
        <v>143</v>
      </c>
      <c r="F51" s="3" t="s">
        <v>25</v>
      </c>
    </row>
    <row r="52" spans="1:6" x14ac:dyDescent="0.25">
      <c r="A52" s="11" t="s">
        <v>184</v>
      </c>
      <c r="B52" t="s">
        <v>185</v>
      </c>
      <c r="C52" t="s">
        <v>155</v>
      </c>
      <c r="D52" t="s">
        <v>142</v>
      </c>
      <c r="E52" s="36" t="s">
        <v>143</v>
      </c>
      <c r="F52" s="3" t="s">
        <v>25</v>
      </c>
    </row>
    <row r="53" spans="1:6" x14ac:dyDescent="0.25">
      <c r="A53" s="11" t="s">
        <v>186</v>
      </c>
      <c r="B53" t="s">
        <v>187</v>
      </c>
      <c r="C53" t="s">
        <v>158</v>
      </c>
      <c r="D53" t="s">
        <v>142</v>
      </c>
      <c r="E53" s="36" t="s">
        <v>143</v>
      </c>
      <c r="F53" s="3" t="s">
        <v>25</v>
      </c>
    </row>
    <row r="54" spans="1:6" x14ac:dyDescent="0.25">
      <c r="A54" s="11" t="s">
        <v>188</v>
      </c>
      <c r="B54" t="s">
        <v>189</v>
      </c>
      <c r="C54" t="s">
        <v>161</v>
      </c>
      <c r="D54" t="s">
        <v>142</v>
      </c>
      <c r="E54" s="36" t="s">
        <v>143</v>
      </c>
      <c r="F54" s="3" t="s">
        <v>25</v>
      </c>
    </row>
    <row r="55" spans="1:6" x14ac:dyDescent="0.25">
      <c r="A55" s="11" t="s">
        <v>190</v>
      </c>
      <c r="B55" t="s">
        <v>191</v>
      </c>
      <c r="C55" t="s">
        <v>141</v>
      </c>
      <c r="D55" t="s">
        <v>142</v>
      </c>
      <c r="E55" s="36" t="s">
        <v>143</v>
      </c>
      <c r="F55" s="6" t="s">
        <v>48</v>
      </c>
    </row>
    <row r="56" spans="1:6" x14ac:dyDescent="0.25">
      <c r="A56" s="11" t="s">
        <v>192</v>
      </c>
      <c r="B56" t="s">
        <v>193</v>
      </c>
      <c r="C56" t="s">
        <v>146</v>
      </c>
      <c r="D56" t="s">
        <v>142</v>
      </c>
      <c r="E56" s="36" t="s">
        <v>143</v>
      </c>
      <c r="F56" s="6" t="s">
        <v>48</v>
      </c>
    </row>
    <row r="57" spans="1:6" x14ac:dyDescent="0.25">
      <c r="A57" s="11" t="s">
        <v>194</v>
      </c>
      <c r="B57" t="s">
        <v>195</v>
      </c>
      <c r="C57" t="s">
        <v>149</v>
      </c>
      <c r="D57" t="s">
        <v>142</v>
      </c>
      <c r="E57" s="36" t="s">
        <v>143</v>
      </c>
      <c r="F57" s="6" t="s">
        <v>48</v>
      </c>
    </row>
    <row r="58" spans="1:6" x14ac:dyDescent="0.25">
      <c r="A58" s="11" t="s">
        <v>196</v>
      </c>
      <c r="B58" t="s">
        <v>197</v>
      </c>
      <c r="C58" t="s">
        <v>152</v>
      </c>
      <c r="D58" t="s">
        <v>142</v>
      </c>
      <c r="E58" s="36" t="s">
        <v>143</v>
      </c>
      <c r="F58" s="6" t="s">
        <v>48</v>
      </c>
    </row>
    <row r="59" spans="1:6" x14ac:dyDescent="0.25">
      <c r="A59" s="11" t="s">
        <v>198</v>
      </c>
      <c r="B59" t="s">
        <v>199</v>
      </c>
      <c r="C59" t="s">
        <v>155</v>
      </c>
      <c r="D59" t="s">
        <v>142</v>
      </c>
      <c r="E59" s="36" t="s">
        <v>143</v>
      </c>
      <c r="F59" s="6" t="s">
        <v>48</v>
      </c>
    </row>
    <row r="60" spans="1:6" x14ac:dyDescent="0.25">
      <c r="A60" s="11" t="s">
        <v>200</v>
      </c>
      <c r="B60" t="s">
        <v>201</v>
      </c>
      <c r="C60" t="s">
        <v>158</v>
      </c>
      <c r="D60" t="s">
        <v>142</v>
      </c>
      <c r="E60" s="36" t="s">
        <v>143</v>
      </c>
      <c r="F60" s="6" t="s">
        <v>48</v>
      </c>
    </row>
    <row r="61" spans="1:6" x14ac:dyDescent="0.25">
      <c r="A61" s="11" t="s">
        <v>202</v>
      </c>
      <c r="B61" t="s">
        <v>203</v>
      </c>
      <c r="C61" t="s">
        <v>161</v>
      </c>
      <c r="D61" t="s">
        <v>142</v>
      </c>
      <c r="E61" s="36" t="s">
        <v>143</v>
      </c>
      <c r="F61" s="6" t="s">
        <v>48</v>
      </c>
    </row>
    <row r="62" spans="1:6" x14ac:dyDescent="0.25">
      <c r="A62" s="13" t="s">
        <v>204</v>
      </c>
      <c r="B62" t="s">
        <v>205</v>
      </c>
      <c r="C62" t="s">
        <v>206</v>
      </c>
      <c r="D62" t="s">
        <v>207</v>
      </c>
      <c r="E62" s="36" t="s">
        <v>208</v>
      </c>
      <c r="F62" s="6" t="s">
        <v>48</v>
      </c>
    </row>
    <row r="63" spans="1:6" x14ac:dyDescent="0.25">
      <c r="A63" s="13" t="s">
        <v>209</v>
      </c>
      <c r="B63" t="s">
        <v>210</v>
      </c>
      <c r="C63" t="s">
        <v>206</v>
      </c>
      <c r="D63" t="s">
        <v>207</v>
      </c>
      <c r="E63" s="36" t="s">
        <v>208</v>
      </c>
      <c r="F63" s="3" t="s">
        <v>25</v>
      </c>
    </row>
    <row r="64" spans="1:6" x14ac:dyDescent="0.25">
      <c r="A64" s="13" t="s">
        <v>211</v>
      </c>
      <c r="B64" t="s">
        <v>212</v>
      </c>
      <c r="C64" t="s">
        <v>206</v>
      </c>
      <c r="D64" t="s">
        <v>207</v>
      </c>
      <c r="E64" s="36" t="s">
        <v>208</v>
      </c>
      <c r="F64" s="5" t="s">
        <v>43</v>
      </c>
    </row>
    <row r="65" spans="1:6" x14ac:dyDescent="0.25">
      <c r="A65" s="13" t="s">
        <v>213</v>
      </c>
      <c r="B65" t="s">
        <v>214</v>
      </c>
      <c r="C65" t="s">
        <v>206</v>
      </c>
      <c r="D65" t="s">
        <v>207</v>
      </c>
      <c r="E65" s="36" t="s">
        <v>208</v>
      </c>
      <c r="F65" s="2" t="s">
        <v>12</v>
      </c>
    </row>
    <row r="66" spans="1:6" x14ac:dyDescent="0.25">
      <c r="A66" s="10" t="s">
        <v>215</v>
      </c>
      <c r="B66" t="s">
        <v>216</v>
      </c>
      <c r="C66" t="s">
        <v>217</v>
      </c>
      <c r="E66" s="36" t="s">
        <v>218</v>
      </c>
      <c r="F66" s="2" t="s">
        <v>12</v>
      </c>
    </row>
    <row r="67" spans="1:6" x14ac:dyDescent="0.25">
      <c r="A67" s="10" t="s">
        <v>219</v>
      </c>
      <c r="B67" t="s">
        <v>220</v>
      </c>
      <c r="C67" t="s">
        <v>217</v>
      </c>
      <c r="E67" s="36" t="s">
        <v>218</v>
      </c>
      <c r="F67" s="9" t="s">
        <v>48</v>
      </c>
    </row>
    <row r="68" spans="1:6" x14ac:dyDescent="0.25">
      <c r="A68" s="10" t="s">
        <v>221</v>
      </c>
      <c r="B68" t="s">
        <v>222</v>
      </c>
      <c r="C68" t="s">
        <v>217</v>
      </c>
      <c r="E68" s="36" t="s">
        <v>218</v>
      </c>
      <c r="F68" s="14" t="s">
        <v>43</v>
      </c>
    </row>
    <row r="69" spans="1:6" x14ac:dyDescent="0.25">
      <c r="A69" s="10" t="s">
        <v>223</v>
      </c>
      <c r="B69" t="s">
        <v>224</v>
      </c>
      <c r="C69" t="s">
        <v>217</v>
      </c>
      <c r="E69" s="36" t="s">
        <v>218</v>
      </c>
      <c r="F69" s="3" t="s">
        <v>25</v>
      </c>
    </row>
    <row r="70" spans="1:6" x14ac:dyDescent="0.25">
      <c r="A70" s="10" t="s">
        <v>225</v>
      </c>
      <c r="B70" t="s">
        <v>226</v>
      </c>
      <c r="C70" t="s">
        <v>217</v>
      </c>
      <c r="E70" s="36" t="s">
        <v>218</v>
      </c>
      <c r="F70" s="3" t="s">
        <v>25</v>
      </c>
    </row>
    <row r="71" spans="1:6" x14ac:dyDescent="0.25">
      <c r="A71" s="10" t="s">
        <v>227</v>
      </c>
      <c r="B71" t="s">
        <v>228</v>
      </c>
      <c r="C71" t="s">
        <v>217</v>
      </c>
      <c r="E71" s="36" t="s">
        <v>218</v>
      </c>
      <c r="F71" s="2" t="s">
        <v>12</v>
      </c>
    </row>
    <row r="72" spans="1:6" x14ac:dyDescent="0.25">
      <c r="A72" s="10" t="s">
        <v>229</v>
      </c>
      <c r="B72" t="s">
        <v>230</v>
      </c>
      <c r="C72" t="s">
        <v>217</v>
      </c>
      <c r="E72" s="36" t="s">
        <v>218</v>
      </c>
      <c r="F72" s="12" t="s">
        <v>38</v>
      </c>
    </row>
    <row r="73" spans="1:6" x14ac:dyDescent="0.25">
      <c r="A73" s="10" t="s">
        <v>231</v>
      </c>
      <c r="B73" t="s">
        <v>232</v>
      </c>
      <c r="C73" t="s">
        <v>217</v>
      </c>
      <c r="E73" s="36" t="s">
        <v>218</v>
      </c>
      <c r="F73" s="2" t="s">
        <v>12</v>
      </c>
    </row>
    <row r="74" spans="1:6" x14ac:dyDescent="0.25">
      <c r="A74" s="10" t="s">
        <v>233</v>
      </c>
      <c r="B74" t="s">
        <v>234</v>
      </c>
      <c r="C74" t="s">
        <v>217</v>
      </c>
      <c r="E74" s="36" t="s">
        <v>218</v>
      </c>
      <c r="F74" s="2" t="s">
        <v>12</v>
      </c>
    </row>
    <row r="75" spans="1:6" ht="15.75" customHeight="1" x14ac:dyDescent="0.25">
      <c r="A75" s="10" t="s">
        <v>235</v>
      </c>
      <c r="B75" t="s">
        <v>236</v>
      </c>
      <c r="C75" t="s">
        <v>217</v>
      </c>
      <c r="E75" s="36" t="s">
        <v>218</v>
      </c>
      <c r="F75" s="2" t="s">
        <v>12</v>
      </c>
    </row>
    <row r="76" spans="1:6" x14ac:dyDescent="0.25">
      <c r="A76" s="22" t="s">
        <v>237</v>
      </c>
      <c r="B76" t="s">
        <v>238</v>
      </c>
      <c r="C76" t="s">
        <v>217</v>
      </c>
      <c r="E76" s="36" t="s">
        <v>218</v>
      </c>
      <c r="F76" s="12" t="s">
        <v>38</v>
      </c>
    </row>
    <row r="77" spans="1:6" x14ac:dyDescent="0.25">
      <c r="A77" s="22" t="s">
        <v>239</v>
      </c>
      <c r="B77" t="s">
        <v>240</v>
      </c>
      <c r="C77" t="s">
        <v>217</v>
      </c>
      <c r="E77" s="36" t="s">
        <v>218</v>
      </c>
      <c r="F77" s="2" t="s">
        <v>12</v>
      </c>
    </row>
    <row r="78" spans="1:6" x14ac:dyDescent="0.25">
      <c r="A78" s="22" t="s">
        <v>241</v>
      </c>
      <c r="B78" t="s">
        <v>242</v>
      </c>
      <c r="C78" t="s">
        <v>217</v>
      </c>
      <c r="E78" s="36" t="s">
        <v>218</v>
      </c>
      <c r="F78" s="14" t="s">
        <v>43</v>
      </c>
    </row>
    <row r="79" spans="1:6" x14ac:dyDescent="0.25">
      <c r="A79" s="22" t="s">
        <v>243</v>
      </c>
      <c r="B79" t="s">
        <v>244</v>
      </c>
      <c r="C79" t="s">
        <v>217</v>
      </c>
      <c r="E79" s="36" t="s">
        <v>218</v>
      </c>
      <c r="F79" s="14" t="s">
        <v>43</v>
      </c>
    </row>
    <row r="80" spans="1:6" x14ac:dyDescent="0.25">
      <c r="A80" s="22" t="s">
        <v>245</v>
      </c>
      <c r="B80" t="s">
        <v>246</v>
      </c>
      <c r="C80" t="s">
        <v>217</v>
      </c>
      <c r="E80" s="36" t="s">
        <v>218</v>
      </c>
      <c r="F80" s="2" t="s">
        <v>12</v>
      </c>
    </row>
    <row r="81" spans="1:6" x14ac:dyDescent="0.25">
      <c r="A81" s="22" t="s">
        <v>247</v>
      </c>
      <c r="B81" t="s">
        <v>248</v>
      </c>
      <c r="C81" t="s">
        <v>217</v>
      </c>
      <c r="E81" s="36" t="s">
        <v>218</v>
      </c>
      <c r="F81" s="14" t="s">
        <v>43</v>
      </c>
    </row>
    <row r="82" spans="1:6" x14ac:dyDescent="0.25">
      <c r="A82" s="15" t="s">
        <v>249</v>
      </c>
      <c r="B82" t="s">
        <v>250</v>
      </c>
      <c r="E82" s="36" t="s">
        <v>251</v>
      </c>
      <c r="F82" s="2" t="s">
        <v>12</v>
      </c>
    </row>
    <row r="83" spans="1:6" x14ac:dyDescent="0.25">
      <c r="A83" s="15" t="s">
        <v>252</v>
      </c>
      <c r="B83" t="s">
        <v>253</v>
      </c>
      <c r="E83" s="36" t="s">
        <v>251</v>
      </c>
      <c r="F83" s="3" t="s">
        <v>25</v>
      </c>
    </row>
    <row r="84" spans="1:6" x14ac:dyDescent="0.25">
      <c r="A84" s="15" t="s">
        <v>254</v>
      </c>
      <c r="B84" t="s">
        <v>255</v>
      </c>
      <c r="E84" s="36" t="s">
        <v>251</v>
      </c>
      <c r="F84" s="6" t="s">
        <v>48</v>
      </c>
    </row>
    <row r="85" spans="1:6" x14ac:dyDescent="0.25">
      <c r="A85" s="15" t="s">
        <v>256</v>
      </c>
      <c r="B85" t="s">
        <v>257</v>
      </c>
      <c r="E85" s="36" t="s">
        <v>251</v>
      </c>
      <c r="F85" s="14" t="s">
        <v>43</v>
      </c>
    </row>
    <row r="86" spans="1:6" x14ac:dyDescent="0.25">
      <c r="A86" s="15" t="s">
        <v>258</v>
      </c>
      <c r="B86" t="s">
        <v>259</v>
      </c>
      <c r="E86" s="36" t="s">
        <v>251</v>
      </c>
      <c r="F86" s="12" t="s">
        <v>38</v>
      </c>
    </row>
    <row r="87" spans="1:6" x14ac:dyDescent="0.25">
      <c r="A87" s="15" t="s">
        <v>260</v>
      </c>
      <c r="B87" t="s">
        <v>261</v>
      </c>
      <c r="E87" s="36" t="s">
        <v>251</v>
      </c>
      <c r="F87" s="14" t="s">
        <v>43</v>
      </c>
    </row>
    <row r="88" spans="1:6" x14ac:dyDescent="0.25">
      <c r="A88" s="15" t="s">
        <v>262</v>
      </c>
      <c r="B88" t="s">
        <v>263</v>
      </c>
      <c r="E88" s="36" t="s">
        <v>251</v>
      </c>
      <c r="F88" s="2" t="s">
        <v>12</v>
      </c>
    </row>
    <row r="89" spans="1:6" x14ac:dyDescent="0.25">
      <c r="A89" s="15" t="s">
        <v>264</v>
      </c>
      <c r="B89" t="s">
        <v>265</v>
      </c>
      <c r="E89" s="36" t="s">
        <v>251</v>
      </c>
      <c r="F89" s="2" t="s">
        <v>12</v>
      </c>
    </row>
    <row r="90" spans="1:6" x14ac:dyDescent="0.25">
      <c r="A90" s="15" t="s">
        <v>266</v>
      </c>
      <c r="B90" t="s">
        <v>250</v>
      </c>
      <c r="E90" s="36" t="s">
        <v>251</v>
      </c>
      <c r="F90" s="2" t="s">
        <v>12</v>
      </c>
    </row>
    <row r="91" spans="1:6" x14ac:dyDescent="0.25">
      <c r="A91" s="15" t="s">
        <v>267</v>
      </c>
      <c r="B91" t="s">
        <v>253</v>
      </c>
      <c r="E91" s="36" t="s">
        <v>251</v>
      </c>
      <c r="F91" s="3" t="s">
        <v>25</v>
      </c>
    </row>
    <row r="92" spans="1:6" x14ac:dyDescent="0.25">
      <c r="A92" s="15" t="s">
        <v>268</v>
      </c>
      <c r="B92" t="s">
        <v>255</v>
      </c>
      <c r="E92" s="36" t="s">
        <v>251</v>
      </c>
      <c r="F92" s="6" t="s">
        <v>48</v>
      </c>
    </row>
    <row r="93" spans="1:6" x14ac:dyDescent="0.25">
      <c r="A93" s="15" t="s">
        <v>269</v>
      </c>
      <c r="B93" t="s">
        <v>257</v>
      </c>
      <c r="E93" s="36" t="s">
        <v>251</v>
      </c>
      <c r="F93" s="14" t="s">
        <v>43</v>
      </c>
    </row>
    <row r="94" spans="1:6" x14ac:dyDescent="0.25">
      <c r="A94" s="15" t="s">
        <v>270</v>
      </c>
      <c r="B94" t="s">
        <v>259</v>
      </c>
      <c r="E94" s="36" t="s">
        <v>251</v>
      </c>
      <c r="F94" s="12" t="s">
        <v>38</v>
      </c>
    </row>
    <row r="95" spans="1:6" x14ac:dyDescent="0.25">
      <c r="A95" s="15" t="s">
        <v>271</v>
      </c>
      <c r="B95" t="s">
        <v>261</v>
      </c>
      <c r="E95" s="36" t="s">
        <v>251</v>
      </c>
      <c r="F95" s="14" t="s">
        <v>43</v>
      </c>
    </row>
    <row r="96" spans="1:6" x14ac:dyDescent="0.25">
      <c r="A96" s="15" t="s">
        <v>272</v>
      </c>
      <c r="B96" t="s">
        <v>263</v>
      </c>
      <c r="E96" s="36" t="s">
        <v>251</v>
      </c>
      <c r="F96" s="2" t="s">
        <v>12</v>
      </c>
    </row>
    <row r="97" spans="1:6" x14ac:dyDescent="0.25">
      <c r="A97" s="15" t="s">
        <v>273</v>
      </c>
      <c r="B97" t="s">
        <v>265</v>
      </c>
      <c r="E97" s="36" t="s">
        <v>251</v>
      </c>
      <c r="F97" s="2" t="s">
        <v>12</v>
      </c>
    </row>
    <row r="98" spans="1:6" x14ac:dyDescent="0.25">
      <c r="A98" s="15" t="s">
        <v>274</v>
      </c>
      <c r="B98" t="s">
        <v>250</v>
      </c>
      <c r="E98" s="36" t="s">
        <v>251</v>
      </c>
      <c r="F98" s="2" t="s">
        <v>12</v>
      </c>
    </row>
    <row r="99" spans="1:6" x14ac:dyDescent="0.25">
      <c r="A99" s="15" t="s">
        <v>275</v>
      </c>
      <c r="B99" t="s">
        <v>253</v>
      </c>
      <c r="E99" s="36" t="s">
        <v>251</v>
      </c>
      <c r="F99" s="3" t="s">
        <v>25</v>
      </c>
    </row>
    <row r="100" spans="1:6" x14ac:dyDescent="0.25">
      <c r="A100" s="15" t="s">
        <v>276</v>
      </c>
      <c r="B100" t="s">
        <v>255</v>
      </c>
      <c r="E100" s="36" t="s">
        <v>251</v>
      </c>
      <c r="F100" s="6" t="s">
        <v>48</v>
      </c>
    </row>
    <row r="101" spans="1:6" x14ac:dyDescent="0.25">
      <c r="A101" s="15" t="s">
        <v>277</v>
      </c>
      <c r="B101" t="s">
        <v>257</v>
      </c>
      <c r="E101" s="36" t="s">
        <v>251</v>
      </c>
      <c r="F101" s="14" t="s">
        <v>43</v>
      </c>
    </row>
    <row r="102" spans="1:6" x14ac:dyDescent="0.25">
      <c r="A102" s="15" t="s">
        <v>278</v>
      </c>
      <c r="B102" t="s">
        <v>259</v>
      </c>
      <c r="E102" s="36" t="s">
        <v>251</v>
      </c>
      <c r="F102" s="12" t="s">
        <v>38</v>
      </c>
    </row>
    <row r="103" spans="1:6" x14ac:dyDescent="0.25">
      <c r="A103" s="15" t="s">
        <v>279</v>
      </c>
      <c r="B103" t="s">
        <v>261</v>
      </c>
      <c r="E103" s="36" t="s">
        <v>251</v>
      </c>
      <c r="F103" s="14" t="s">
        <v>43</v>
      </c>
    </row>
    <row r="104" spans="1:6" x14ac:dyDescent="0.25">
      <c r="A104" s="15" t="s">
        <v>280</v>
      </c>
      <c r="B104" t="s">
        <v>263</v>
      </c>
      <c r="E104" s="36" t="s">
        <v>251</v>
      </c>
      <c r="F104" s="2" t="s">
        <v>12</v>
      </c>
    </row>
    <row r="105" spans="1:6" x14ac:dyDescent="0.25">
      <c r="A105" s="15" t="s">
        <v>281</v>
      </c>
      <c r="B105" t="s">
        <v>265</v>
      </c>
      <c r="E105" s="36" t="s">
        <v>251</v>
      </c>
      <c r="F105" s="2" t="s">
        <v>12</v>
      </c>
    </row>
    <row r="106" spans="1:6" x14ac:dyDescent="0.25">
      <c r="A106" s="15" t="s">
        <v>282</v>
      </c>
      <c r="B106" t="s">
        <v>250</v>
      </c>
      <c r="E106" s="36" t="s">
        <v>251</v>
      </c>
      <c r="F106" s="2" t="s">
        <v>12</v>
      </c>
    </row>
    <row r="107" spans="1:6" x14ac:dyDescent="0.25">
      <c r="A107" s="15" t="s">
        <v>283</v>
      </c>
      <c r="B107" t="s">
        <v>253</v>
      </c>
      <c r="E107" s="36" t="s">
        <v>251</v>
      </c>
      <c r="F107" s="3" t="s">
        <v>25</v>
      </c>
    </row>
    <row r="108" spans="1:6" x14ac:dyDescent="0.25">
      <c r="A108" s="15" t="s">
        <v>284</v>
      </c>
      <c r="B108" t="s">
        <v>255</v>
      </c>
      <c r="E108" s="36" t="s">
        <v>251</v>
      </c>
      <c r="F108" s="6" t="s">
        <v>48</v>
      </c>
    </row>
    <row r="109" spans="1:6" x14ac:dyDescent="0.25">
      <c r="A109" s="15" t="s">
        <v>285</v>
      </c>
      <c r="B109" t="s">
        <v>257</v>
      </c>
      <c r="E109" s="36" t="s">
        <v>251</v>
      </c>
      <c r="F109" s="14" t="s">
        <v>43</v>
      </c>
    </row>
    <row r="110" spans="1:6" x14ac:dyDescent="0.25">
      <c r="A110" s="15" t="s">
        <v>286</v>
      </c>
      <c r="B110" t="s">
        <v>259</v>
      </c>
      <c r="E110" s="36" t="s">
        <v>251</v>
      </c>
      <c r="F110" s="12" t="s">
        <v>38</v>
      </c>
    </row>
    <row r="111" spans="1:6" x14ac:dyDescent="0.25">
      <c r="A111" s="15" t="s">
        <v>287</v>
      </c>
      <c r="B111" t="s">
        <v>261</v>
      </c>
      <c r="E111" s="36" t="s">
        <v>251</v>
      </c>
      <c r="F111" s="14" t="s">
        <v>43</v>
      </c>
    </row>
    <row r="112" spans="1:6" x14ac:dyDescent="0.25">
      <c r="A112" s="15" t="s">
        <v>288</v>
      </c>
      <c r="B112" t="s">
        <v>263</v>
      </c>
      <c r="E112" s="36" t="s">
        <v>251</v>
      </c>
      <c r="F112" s="2" t="s">
        <v>12</v>
      </c>
    </row>
    <row r="113" spans="1:6" x14ac:dyDescent="0.25">
      <c r="A113" s="15" t="s">
        <v>289</v>
      </c>
      <c r="B113" t="s">
        <v>265</v>
      </c>
      <c r="E113" s="36" t="s">
        <v>251</v>
      </c>
      <c r="F113" s="2" t="s">
        <v>12</v>
      </c>
    </row>
    <row r="114" spans="1:6" x14ac:dyDescent="0.25">
      <c r="A114" s="15" t="s">
        <v>290</v>
      </c>
      <c r="B114" t="s">
        <v>250</v>
      </c>
      <c r="E114" s="36" t="s">
        <v>251</v>
      </c>
      <c r="F114" s="2" t="s">
        <v>12</v>
      </c>
    </row>
    <row r="115" spans="1:6" x14ac:dyDescent="0.25">
      <c r="A115" s="15" t="s">
        <v>291</v>
      </c>
      <c r="B115" t="s">
        <v>253</v>
      </c>
      <c r="E115" s="36" t="s">
        <v>251</v>
      </c>
      <c r="F115" s="3" t="s">
        <v>25</v>
      </c>
    </row>
    <row r="116" spans="1:6" x14ac:dyDescent="0.25">
      <c r="A116" s="15" t="s">
        <v>292</v>
      </c>
      <c r="B116" t="s">
        <v>255</v>
      </c>
      <c r="E116" s="36" t="s">
        <v>251</v>
      </c>
      <c r="F116" s="6" t="s">
        <v>48</v>
      </c>
    </row>
    <row r="117" spans="1:6" x14ac:dyDescent="0.25">
      <c r="A117" s="15" t="s">
        <v>293</v>
      </c>
      <c r="B117" t="s">
        <v>257</v>
      </c>
      <c r="E117" s="36" t="s">
        <v>251</v>
      </c>
      <c r="F117" s="14" t="s">
        <v>43</v>
      </c>
    </row>
    <row r="118" spans="1:6" x14ac:dyDescent="0.25">
      <c r="A118" s="15" t="s">
        <v>294</v>
      </c>
      <c r="B118" t="s">
        <v>259</v>
      </c>
      <c r="E118" s="36" t="s">
        <v>251</v>
      </c>
      <c r="F118" s="12" t="s">
        <v>38</v>
      </c>
    </row>
    <row r="119" spans="1:6" x14ac:dyDescent="0.25">
      <c r="A119" s="15" t="s">
        <v>295</v>
      </c>
      <c r="B119" t="s">
        <v>261</v>
      </c>
      <c r="E119" s="36" t="s">
        <v>251</v>
      </c>
      <c r="F119" s="14" t="s">
        <v>43</v>
      </c>
    </row>
    <row r="120" spans="1:6" x14ac:dyDescent="0.25">
      <c r="A120" s="15" t="s">
        <v>296</v>
      </c>
      <c r="B120" t="s">
        <v>263</v>
      </c>
      <c r="E120" s="36" t="s">
        <v>251</v>
      </c>
      <c r="F120" s="2" t="s">
        <v>12</v>
      </c>
    </row>
    <row r="121" spans="1:6" x14ac:dyDescent="0.25">
      <c r="A121" s="15" t="s">
        <v>297</v>
      </c>
      <c r="B121" t="s">
        <v>265</v>
      </c>
      <c r="E121" s="36" t="s">
        <v>251</v>
      </c>
      <c r="F121" s="2" t="s">
        <v>12</v>
      </c>
    </row>
    <row r="122" spans="1:6" x14ac:dyDescent="0.25">
      <c r="A122" s="15" t="s">
        <v>298</v>
      </c>
      <c r="B122" t="s">
        <v>250</v>
      </c>
      <c r="E122" s="36" t="s">
        <v>251</v>
      </c>
      <c r="F122" s="2" t="s">
        <v>12</v>
      </c>
    </row>
    <row r="123" spans="1:6" x14ac:dyDescent="0.25">
      <c r="A123" s="15" t="s">
        <v>299</v>
      </c>
      <c r="B123" t="s">
        <v>253</v>
      </c>
      <c r="E123" s="36" t="s">
        <v>251</v>
      </c>
      <c r="F123" s="3" t="s">
        <v>25</v>
      </c>
    </row>
    <row r="124" spans="1:6" x14ac:dyDescent="0.25">
      <c r="A124" s="15" t="s">
        <v>300</v>
      </c>
      <c r="B124" t="s">
        <v>255</v>
      </c>
      <c r="E124" s="36" t="s">
        <v>251</v>
      </c>
      <c r="F124" s="6" t="s">
        <v>48</v>
      </c>
    </row>
    <row r="125" spans="1:6" x14ac:dyDescent="0.25">
      <c r="A125" s="15" t="s">
        <v>301</v>
      </c>
      <c r="B125" t="s">
        <v>257</v>
      </c>
      <c r="E125" s="36" t="s">
        <v>251</v>
      </c>
      <c r="F125" s="14" t="s">
        <v>43</v>
      </c>
    </row>
    <row r="126" spans="1:6" x14ac:dyDescent="0.25">
      <c r="A126" s="15" t="s">
        <v>302</v>
      </c>
      <c r="B126" t="s">
        <v>259</v>
      </c>
      <c r="E126" s="36" t="s">
        <v>251</v>
      </c>
      <c r="F126" s="12" t="s">
        <v>38</v>
      </c>
    </row>
    <row r="127" spans="1:6" x14ac:dyDescent="0.25">
      <c r="A127" s="15" t="s">
        <v>303</v>
      </c>
      <c r="B127" t="s">
        <v>261</v>
      </c>
      <c r="E127" s="36" t="s">
        <v>251</v>
      </c>
      <c r="F127" s="14" t="s">
        <v>43</v>
      </c>
    </row>
    <row r="128" spans="1:6" x14ac:dyDescent="0.25">
      <c r="A128" s="15" t="s">
        <v>304</v>
      </c>
      <c r="B128" t="s">
        <v>263</v>
      </c>
      <c r="E128" s="36" t="s">
        <v>251</v>
      </c>
      <c r="F128" s="2" t="s">
        <v>12</v>
      </c>
    </row>
    <row r="129" spans="1:6" x14ac:dyDescent="0.25">
      <c r="A129" s="15" t="s">
        <v>305</v>
      </c>
      <c r="B129" t="s">
        <v>265</v>
      </c>
      <c r="E129" s="36" t="s">
        <v>251</v>
      </c>
      <c r="F129" s="2" t="s">
        <v>12</v>
      </c>
    </row>
    <row r="130" spans="1:6" x14ac:dyDescent="0.25">
      <c r="A130" s="9" t="s">
        <v>306</v>
      </c>
      <c r="E130" s="36" t="s">
        <v>307</v>
      </c>
      <c r="F130" s="12" t="s">
        <v>38</v>
      </c>
    </row>
    <row r="131" spans="1:6" x14ac:dyDescent="0.25">
      <c r="A131" s="9" t="s">
        <v>308</v>
      </c>
      <c r="E131" s="36" t="s">
        <v>307</v>
      </c>
      <c r="F131" s="12" t="s">
        <v>38</v>
      </c>
    </row>
    <row r="132" spans="1:6" x14ac:dyDescent="0.25">
      <c r="A132" s="9" t="s">
        <v>309</v>
      </c>
      <c r="E132" s="36" t="s">
        <v>307</v>
      </c>
      <c r="F132" s="12" t="s">
        <v>38</v>
      </c>
    </row>
    <row r="133" spans="1:6" x14ac:dyDescent="0.25">
      <c r="A133" s="9" t="s">
        <v>310</v>
      </c>
      <c r="E133" s="36" t="s">
        <v>307</v>
      </c>
      <c r="F133" s="12" t="s">
        <v>38</v>
      </c>
    </row>
    <row r="134" spans="1:6" x14ac:dyDescent="0.25">
      <c r="A134" s="9" t="s">
        <v>311</v>
      </c>
      <c r="E134" s="36" t="s">
        <v>307</v>
      </c>
      <c r="F134" s="12" t="s">
        <v>38</v>
      </c>
    </row>
    <row r="135" spans="1:6" x14ac:dyDescent="0.25">
      <c r="A135" s="9" t="s">
        <v>312</v>
      </c>
      <c r="E135" s="36" t="s">
        <v>307</v>
      </c>
      <c r="F135" s="12" t="s">
        <v>38</v>
      </c>
    </row>
    <row r="136" spans="1:6" x14ac:dyDescent="0.25">
      <c r="A136" s="9" t="s">
        <v>313</v>
      </c>
      <c r="E136" s="36" t="s">
        <v>307</v>
      </c>
      <c r="F136" s="12" t="s">
        <v>38</v>
      </c>
    </row>
    <row r="137" spans="1:6" x14ac:dyDescent="0.25">
      <c r="A137" s="9" t="s">
        <v>314</v>
      </c>
      <c r="E137" s="36" t="s">
        <v>307</v>
      </c>
      <c r="F137" s="12" t="s">
        <v>38</v>
      </c>
    </row>
    <row r="138" spans="1:6" x14ac:dyDescent="0.25">
      <c r="A138" s="9" t="s">
        <v>315</v>
      </c>
      <c r="E138" s="36" t="s">
        <v>307</v>
      </c>
      <c r="F138" s="12" t="s">
        <v>38</v>
      </c>
    </row>
    <row r="139" spans="1:6" x14ac:dyDescent="0.25">
      <c r="A139" s="9" t="s">
        <v>316</v>
      </c>
      <c r="B139" t="s">
        <v>317</v>
      </c>
      <c r="C139" t="s">
        <v>318</v>
      </c>
      <c r="D139" t="s">
        <v>319</v>
      </c>
      <c r="E139" s="36" t="s">
        <v>320</v>
      </c>
      <c r="F139" s="4" t="s">
        <v>38</v>
      </c>
    </row>
  </sheetData>
  <autoFilter ref="A1:A1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B29" sqref="B29"/>
    </sheetView>
  </sheetViews>
  <sheetFormatPr defaultRowHeight="15" x14ac:dyDescent="0.25"/>
  <cols>
    <col min="1" max="1" width="22.28515625" style="35" bestFit="1" customWidth="1"/>
    <col min="2" max="2" width="14" style="35" bestFit="1" customWidth="1"/>
    <col min="3" max="3" width="7.5703125" style="42" bestFit="1" customWidth="1"/>
    <col min="4" max="4" width="14.42578125" style="35" bestFit="1" customWidth="1"/>
  </cols>
  <sheetData>
    <row r="1" spans="1:6" x14ac:dyDescent="0.25">
      <c r="A1" s="1" t="s">
        <v>0</v>
      </c>
      <c r="B1" s="1" t="s">
        <v>321</v>
      </c>
      <c r="C1" s="34" t="s">
        <v>322</v>
      </c>
      <c r="D1" t="s">
        <v>323</v>
      </c>
      <c r="E1" t="s">
        <v>324</v>
      </c>
      <c r="F1" t="s">
        <v>325</v>
      </c>
    </row>
    <row r="2" spans="1:6" x14ac:dyDescent="0.25">
      <c r="A2" s="13" t="s">
        <v>204</v>
      </c>
      <c r="B2" s="36">
        <v>100</v>
      </c>
    </row>
    <row r="3" spans="1:6" x14ac:dyDescent="0.25">
      <c r="A3" s="13" t="s">
        <v>209</v>
      </c>
      <c r="B3" s="36">
        <v>400</v>
      </c>
    </row>
    <row r="4" spans="1:6" x14ac:dyDescent="0.25">
      <c r="A4" s="13" t="s">
        <v>211</v>
      </c>
      <c r="B4" s="36">
        <v>1600</v>
      </c>
    </row>
    <row r="5" spans="1:6" x14ac:dyDescent="0.25">
      <c r="A5" s="13" t="s">
        <v>213</v>
      </c>
      <c r="B5" s="36">
        <v>6400</v>
      </c>
    </row>
    <row r="6" spans="1:6" x14ac:dyDescent="0.25">
      <c r="A6" t="s">
        <v>98</v>
      </c>
      <c r="B6" t="s">
        <v>326</v>
      </c>
      <c r="C6" s="42">
        <v>15</v>
      </c>
      <c r="D6" s="36" t="s">
        <v>327</v>
      </c>
      <c r="E6" t="s">
        <v>328</v>
      </c>
      <c r="F6">
        <v>10</v>
      </c>
    </row>
    <row r="7" spans="1:6" x14ac:dyDescent="0.25">
      <c r="A7" t="s">
        <v>106</v>
      </c>
      <c r="B7" t="s">
        <v>326</v>
      </c>
      <c r="C7" s="42">
        <v>30</v>
      </c>
      <c r="D7" s="36" t="s">
        <v>329</v>
      </c>
      <c r="E7" t="s">
        <v>328</v>
      </c>
      <c r="F7">
        <v>10</v>
      </c>
    </row>
    <row r="8" spans="1:6" x14ac:dyDescent="0.25">
      <c r="A8" t="s">
        <v>82</v>
      </c>
      <c r="B8" t="s">
        <v>326</v>
      </c>
      <c r="C8" s="42">
        <v>200</v>
      </c>
      <c r="D8" s="36" t="s">
        <v>330</v>
      </c>
      <c r="E8" t="s">
        <v>328</v>
      </c>
      <c r="F8">
        <v>10</v>
      </c>
    </row>
    <row r="9" spans="1:6" x14ac:dyDescent="0.25">
      <c r="A9" t="s">
        <v>87</v>
      </c>
      <c r="B9" t="s">
        <v>326</v>
      </c>
      <c r="C9" s="42">
        <v>500</v>
      </c>
      <c r="D9" s="36" t="s">
        <v>331</v>
      </c>
      <c r="E9" t="s">
        <v>328</v>
      </c>
      <c r="F9">
        <v>5</v>
      </c>
    </row>
    <row r="10" spans="1:6" x14ac:dyDescent="0.25">
      <c r="A10" t="s">
        <v>94</v>
      </c>
      <c r="B10" t="s">
        <v>326</v>
      </c>
      <c r="C10" s="42">
        <v>100</v>
      </c>
      <c r="D10" s="36" t="s">
        <v>332</v>
      </c>
      <c r="E10" t="s">
        <v>328</v>
      </c>
      <c r="F10">
        <v>5</v>
      </c>
    </row>
    <row r="11" spans="1:6" x14ac:dyDescent="0.25">
      <c r="A11" t="s">
        <v>102</v>
      </c>
      <c r="B11" t="s">
        <v>333</v>
      </c>
      <c r="C11" s="42">
        <v>60</v>
      </c>
    </row>
    <row r="12" spans="1:6" x14ac:dyDescent="0.25">
      <c r="A12" t="s">
        <v>90</v>
      </c>
      <c r="B12" t="s">
        <v>333</v>
      </c>
      <c r="C12" s="42">
        <v>30</v>
      </c>
    </row>
  </sheetData>
  <dataValidations count="1">
    <dataValidation type="list" allowBlank="1" showInputMessage="1" showErrorMessage="1" sqref="D6:D10">
      <formula1>"HP, ATK, DEF, SPEED, DEF_SHRED, CRIT_RATE, CRIT_DMG, PEN, CRIT_DMG_RES, SHIELD, EHR,  RES,  None"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zoomScale="160" zoomScaleNormal="160" workbookViewId="0">
      <selection activeCell="H20" sqref="H20"/>
    </sheetView>
  </sheetViews>
  <sheetFormatPr defaultRowHeight="15" x14ac:dyDescent="0.25"/>
  <cols>
    <col min="1" max="1" width="21" style="35" bestFit="1" customWidth="1"/>
    <col min="2" max="2" width="11.140625" style="35" bestFit="1" customWidth="1"/>
    <col min="3" max="3" width="8.42578125" style="35" bestFit="1" customWidth="1"/>
    <col min="6" max="6" width="10" style="35" bestFit="1" customWidth="1"/>
    <col min="7" max="7" width="11" style="35" bestFit="1" customWidth="1"/>
    <col min="8" max="8" width="24.7109375" style="35" bestFit="1" customWidth="1"/>
  </cols>
  <sheetData>
    <row r="1" spans="1:8" x14ac:dyDescent="0.25">
      <c r="A1" s="1" t="s">
        <v>0</v>
      </c>
      <c r="B1" s="1" t="s">
        <v>25</v>
      </c>
      <c r="C1" s="1" t="s">
        <v>334</v>
      </c>
      <c r="D1" s="1" t="s">
        <v>331</v>
      </c>
      <c r="E1" s="1" t="s">
        <v>330</v>
      </c>
      <c r="F1" s="1" t="s">
        <v>335</v>
      </c>
      <c r="G1" s="1" t="s">
        <v>336</v>
      </c>
      <c r="H1" s="1" t="s">
        <v>337</v>
      </c>
    </row>
    <row r="2" spans="1:8" x14ac:dyDescent="0.25">
      <c r="A2" t="s">
        <v>7</v>
      </c>
      <c r="B2" s="2" t="s">
        <v>12</v>
      </c>
      <c r="C2" s="42" t="s">
        <v>338</v>
      </c>
      <c r="D2" s="36">
        <v>1375</v>
      </c>
      <c r="E2" s="36">
        <v>225</v>
      </c>
      <c r="F2" s="36">
        <v>138</v>
      </c>
      <c r="G2" s="36">
        <v>23</v>
      </c>
      <c r="H2" s="31" t="s">
        <v>339</v>
      </c>
    </row>
    <row r="3" spans="1:8" x14ac:dyDescent="0.25">
      <c r="A3" t="s">
        <v>13</v>
      </c>
      <c r="B3" s="2" t="s">
        <v>12</v>
      </c>
      <c r="C3" s="42" t="s">
        <v>338</v>
      </c>
      <c r="D3" s="36">
        <v>1375</v>
      </c>
      <c r="E3" s="36">
        <v>225</v>
      </c>
      <c r="F3" s="36">
        <v>138</v>
      </c>
      <c r="G3" s="36">
        <v>23</v>
      </c>
      <c r="H3" s="31" t="s">
        <v>340</v>
      </c>
    </row>
    <row r="4" spans="1:8" x14ac:dyDescent="0.25">
      <c r="A4" t="s">
        <v>17</v>
      </c>
      <c r="B4" s="2" t="s">
        <v>12</v>
      </c>
      <c r="C4" s="42" t="s">
        <v>341</v>
      </c>
      <c r="D4" s="36">
        <v>875</v>
      </c>
      <c r="E4" s="36">
        <v>325</v>
      </c>
      <c r="F4" s="36">
        <v>88</v>
      </c>
      <c r="G4" s="36">
        <v>33</v>
      </c>
      <c r="H4" s="31" t="s">
        <v>342</v>
      </c>
    </row>
    <row r="5" spans="1:8" x14ac:dyDescent="0.25">
      <c r="A5" t="s">
        <v>21</v>
      </c>
      <c r="B5" s="3" t="s">
        <v>25</v>
      </c>
      <c r="C5" s="42" t="s">
        <v>343</v>
      </c>
      <c r="D5" s="36">
        <v>495</v>
      </c>
      <c r="E5" s="36">
        <v>121</v>
      </c>
      <c r="F5" s="36">
        <v>50</v>
      </c>
      <c r="G5" s="36">
        <v>12</v>
      </c>
      <c r="H5" s="31" t="s">
        <v>344</v>
      </c>
    </row>
    <row r="6" spans="1:8" x14ac:dyDescent="0.25">
      <c r="A6" t="s">
        <v>26</v>
      </c>
      <c r="B6" s="2" t="s">
        <v>12</v>
      </c>
      <c r="C6" s="42" t="s">
        <v>345</v>
      </c>
      <c r="D6" s="36">
        <v>2000</v>
      </c>
      <c r="E6" s="36">
        <v>100</v>
      </c>
      <c r="F6" s="36">
        <v>200</v>
      </c>
      <c r="G6" s="36">
        <v>10</v>
      </c>
      <c r="H6" s="31" t="s">
        <v>346</v>
      </c>
    </row>
    <row r="7" spans="1:8" x14ac:dyDescent="0.25">
      <c r="A7" t="s">
        <v>30</v>
      </c>
      <c r="B7" s="3" t="s">
        <v>25</v>
      </c>
      <c r="C7" s="42" t="s">
        <v>347</v>
      </c>
      <c r="D7" s="36">
        <v>495</v>
      </c>
      <c r="E7" s="36">
        <v>121</v>
      </c>
      <c r="F7" s="36">
        <v>50</v>
      </c>
      <c r="G7" s="36">
        <v>12</v>
      </c>
      <c r="H7" s="31" t="s">
        <v>348</v>
      </c>
    </row>
    <row r="8" spans="1:8" x14ac:dyDescent="0.25">
      <c r="A8" t="s">
        <v>34</v>
      </c>
      <c r="B8" s="4" t="s">
        <v>38</v>
      </c>
      <c r="C8" s="42" t="s">
        <v>349</v>
      </c>
      <c r="D8" s="36">
        <v>300</v>
      </c>
      <c r="E8" s="36">
        <v>40</v>
      </c>
      <c r="F8" s="36">
        <v>30</v>
      </c>
      <c r="G8" s="36">
        <v>4</v>
      </c>
      <c r="H8" s="31" t="s">
        <v>350</v>
      </c>
    </row>
    <row r="9" spans="1:8" x14ac:dyDescent="0.25">
      <c r="A9" t="s">
        <v>39</v>
      </c>
      <c r="B9" s="5" t="s">
        <v>43</v>
      </c>
      <c r="C9" s="42" t="s">
        <v>351</v>
      </c>
      <c r="D9" s="36">
        <v>578</v>
      </c>
      <c r="E9" s="36">
        <v>214</v>
      </c>
      <c r="F9" s="36">
        <v>58</v>
      </c>
      <c r="G9" s="36">
        <v>21</v>
      </c>
      <c r="H9" s="31" t="s">
        <v>352</v>
      </c>
    </row>
    <row r="10" spans="1:8" x14ac:dyDescent="0.25">
      <c r="A10" t="s">
        <v>44</v>
      </c>
      <c r="B10" s="6" t="s">
        <v>48</v>
      </c>
      <c r="C10" s="42" t="s">
        <v>349</v>
      </c>
      <c r="D10" s="36">
        <v>450</v>
      </c>
      <c r="E10" s="36">
        <v>60</v>
      </c>
      <c r="F10" s="36">
        <v>45</v>
      </c>
      <c r="G10" s="36">
        <v>6</v>
      </c>
      <c r="H10" s="31" t="s">
        <v>353</v>
      </c>
    </row>
    <row r="11" spans="1:8" x14ac:dyDescent="0.25">
      <c r="A11" t="s">
        <v>49</v>
      </c>
      <c r="B11" s="4" t="s">
        <v>38</v>
      </c>
      <c r="C11" s="42" t="s">
        <v>349</v>
      </c>
      <c r="D11" s="36">
        <v>300</v>
      </c>
      <c r="E11" s="36">
        <v>40</v>
      </c>
      <c r="F11" s="36">
        <v>30</v>
      </c>
      <c r="G11" s="36">
        <v>4</v>
      </c>
      <c r="H11" s="31" t="s">
        <v>354</v>
      </c>
    </row>
    <row r="12" spans="1:8" x14ac:dyDescent="0.25">
      <c r="A12" t="s">
        <v>53</v>
      </c>
      <c r="B12" s="6" t="s">
        <v>48</v>
      </c>
      <c r="C12" s="42" t="s">
        <v>345</v>
      </c>
      <c r="D12" s="36">
        <v>600</v>
      </c>
      <c r="E12" s="36">
        <v>30</v>
      </c>
      <c r="F12" s="36">
        <v>60</v>
      </c>
      <c r="G12" s="36">
        <v>3</v>
      </c>
      <c r="H12" s="31" t="s">
        <v>355</v>
      </c>
    </row>
    <row r="13" spans="1:8" x14ac:dyDescent="0.25">
      <c r="A13" t="s">
        <v>57</v>
      </c>
      <c r="B13" s="2" t="s">
        <v>12</v>
      </c>
      <c r="C13" s="42" t="s">
        <v>347</v>
      </c>
      <c r="D13" s="36">
        <v>1125</v>
      </c>
      <c r="E13" s="36">
        <v>275</v>
      </c>
      <c r="F13" s="36">
        <v>113</v>
      </c>
      <c r="G13" s="36">
        <v>28</v>
      </c>
      <c r="H13" s="31" t="s">
        <v>356</v>
      </c>
    </row>
    <row r="14" spans="1:8" x14ac:dyDescent="0.25">
      <c r="A14" t="s">
        <v>61</v>
      </c>
      <c r="B14" s="2" t="s">
        <v>12</v>
      </c>
      <c r="C14" s="42" t="s">
        <v>347</v>
      </c>
      <c r="D14" s="36">
        <v>742</v>
      </c>
      <c r="E14" s="36">
        <v>182</v>
      </c>
      <c r="F14" s="36">
        <v>74</v>
      </c>
      <c r="G14" s="36">
        <v>18</v>
      </c>
      <c r="H14" s="31" t="s">
        <v>357</v>
      </c>
    </row>
    <row r="15" spans="1:8" x14ac:dyDescent="0.25">
      <c r="A15" t="s">
        <v>65</v>
      </c>
      <c r="B15" s="5" t="s">
        <v>43</v>
      </c>
      <c r="C15" s="42" t="s">
        <v>343</v>
      </c>
      <c r="D15" s="36">
        <v>1750</v>
      </c>
      <c r="E15" s="36">
        <v>150</v>
      </c>
      <c r="F15" s="36">
        <v>175</v>
      </c>
      <c r="G15" s="36">
        <v>15</v>
      </c>
      <c r="H15" s="31" t="s">
        <v>358</v>
      </c>
    </row>
    <row r="16" spans="1:8" x14ac:dyDescent="0.25">
      <c r="A16" t="s">
        <v>70</v>
      </c>
      <c r="B16" s="5" t="s">
        <v>43</v>
      </c>
      <c r="C16" s="42" t="s">
        <v>341</v>
      </c>
      <c r="D16" s="36">
        <v>578</v>
      </c>
      <c r="E16" s="36">
        <v>214</v>
      </c>
      <c r="F16" s="36">
        <v>58</v>
      </c>
      <c r="G16" s="36">
        <v>21</v>
      </c>
      <c r="H16" s="30" t="s">
        <v>359</v>
      </c>
    </row>
    <row r="17" spans="1:8" x14ac:dyDescent="0.25">
      <c r="A17" t="s">
        <v>69</v>
      </c>
      <c r="B17" s="2" t="s">
        <v>12</v>
      </c>
      <c r="C17" s="42" t="s">
        <v>349</v>
      </c>
      <c r="D17" s="36">
        <v>300</v>
      </c>
      <c r="E17" s="36">
        <v>40</v>
      </c>
      <c r="F17" s="36">
        <v>30</v>
      </c>
      <c r="G17" s="36">
        <v>4</v>
      </c>
    </row>
    <row r="18" spans="1:8" x14ac:dyDescent="0.25">
      <c r="A18" t="s">
        <v>74</v>
      </c>
      <c r="B18" s="2" t="s">
        <v>12</v>
      </c>
      <c r="C18" s="36" t="s">
        <v>345</v>
      </c>
      <c r="D18" s="36">
        <v>2200</v>
      </c>
      <c r="E18" s="36">
        <v>120</v>
      </c>
      <c r="F18" s="36">
        <v>220</v>
      </c>
      <c r="G18" s="36">
        <v>12</v>
      </c>
      <c r="H18" t="s">
        <v>360</v>
      </c>
    </row>
    <row r="19" spans="1:8" x14ac:dyDescent="0.25">
      <c r="A19" t="s">
        <v>78</v>
      </c>
      <c r="B19" s="2" t="s">
        <v>12</v>
      </c>
      <c r="C19" s="42" t="s">
        <v>338</v>
      </c>
      <c r="D19" s="36">
        <v>1375</v>
      </c>
      <c r="E19" s="36">
        <v>225</v>
      </c>
      <c r="F19" s="36">
        <v>138</v>
      </c>
      <c r="G19" s="36">
        <v>23</v>
      </c>
      <c r="H19" s="31" t="s">
        <v>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A24" sqref="A24"/>
    </sheetView>
  </sheetViews>
  <sheetFormatPr defaultRowHeight="15" x14ac:dyDescent="0.25"/>
  <cols>
    <col min="1" max="1" width="24.7109375" style="35" bestFit="1" customWidth="1"/>
    <col min="2" max="2" width="34.7109375" style="35" bestFit="1" customWidth="1"/>
    <col min="3" max="3" width="102.7109375" style="35" customWidth="1"/>
  </cols>
  <sheetData>
    <row r="1" spans="1:3" x14ac:dyDescent="0.25">
      <c r="A1" s="16" t="s">
        <v>0</v>
      </c>
      <c r="B1" s="16" t="s">
        <v>362</v>
      </c>
      <c r="C1" s="16" t="s">
        <v>363</v>
      </c>
    </row>
    <row r="2" spans="1:3" x14ac:dyDescent="0.25">
      <c r="A2" s="31" t="s">
        <v>339</v>
      </c>
      <c r="B2" t="s">
        <v>10</v>
      </c>
      <c r="C2" t="s">
        <v>364</v>
      </c>
    </row>
    <row r="3" spans="1:3" x14ac:dyDescent="0.25">
      <c r="A3" s="31" t="s">
        <v>340</v>
      </c>
      <c r="B3" t="s">
        <v>16</v>
      </c>
      <c r="C3" t="s">
        <v>365</v>
      </c>
    </row>
    <row r="4" spans="1:3" x14ac:dyDescent="0.25">
      <c r="A4" s="31" t="s">
        <v>342</v>
      </c>
      <c r="B4" t="s">
        <v>20</v>
      </c>
      <c r="C4" t="s">
        <v>366</v>
      </c>
    </row>
    <row r="5" spans="1:3" x14ac:dyDescent="0.25">
      <c r="A5" s="31" t="s">
        <v>344</v>
      </c>
      <c r="B5" t="s">
        <v>24</v>
      </c>
      <c r="C5" t="s">
        <v>367</v>
      </c>
    </row>
    <row r="6" spans="1:3" x14ac:dyDescent="0.25">
      <c r="A6" s="31" t="s">
        <v>346</v>
      </c>
      <c r="B6" t="s">
        <v>29</v>
      </c>
      <c r="C6" t="s">
        <v>368</v>
      </c>
    </row>
    <row r="7" spans="1:3" x14ac:dyDescent="0.25">
      <c r="A7" s="31" t="s">
        <v>348</v>
      </c>
      <c r="B7" t="s">
        <v>33</v>
      </c>
      <c r="C7" t="s">
        <v>369</v>
      </c>
    </row>
    <row r="8" spans="1:3" x14ac:dyDescent="0.25">
      <c r="A8" s="31" t="s">
        <v>350</v>
      </c>
      <c r="B8" t="s">
        <v>37</v>
      </c>
      <c r="C8" t="s">
        <v>370</v>
      </c>
    </row>
    <row r="9" spans="1:3" x14ac:dyDescent="0.25">
      <c r="A9" s="31" t="s">
        <v>352</v>
      </c>
      <c r="B9" t="s">
        <v>42</v>
      </c>
      <c r="C9" t="s">
        <v>371</v>
      </c>
    </row>
    <row r="10" spans="1:3" x14ac:dyDescent="0.25">
      <c r="A10" s="31" t="s">
        <v>353</v>
      </c>
      <c r="B10" t="s">
        <v>47</v>
      </c>
      <c r="C10" t="s">
        <v>372</v>
      </c>
    </row>
    <row r="11" spans="1:3" x14ac:dyDescent="0.25">
      <c r="A11" s="31" t="s">
        <v>354</v>
      </c>
      <c r="B11" t="s">
        <v>52</v>
      </c>
      <c r="C11" t="s">
        <v>373</v>
      </c>
    </row>
    <row r="12" spans="1:3" x14ac:dyDescent="0.25">
      <c r="A12" s="31" t="s">
        <v>355</v>
      </c>
      <c r="B12" t="s">
        <v>56</v>
      </c>
      <c r="C12" t="s">
        <v>374</v>
      </c>
    </row>
    <row r="13" spans="1:3" x14ac:dyDescent="0.25">
      <c r="A13" s="31" t="s">
        <v>356</v>
      </c>
      <c r="B13" t="s">
        <v>60</v>
      </c>
      <c r="C13" t="s">
        <v>375</v>
      </c>
    </row>
    <row r="14" spans="1:3" x14ac:dyDescent="0.25">
      <c r="A14" s="31" t="s">
        <v>357</v>
      </c>
      <c r="B14" t="s">
        <v>64</v>
      </c>
      <c r="C14" t="s">
        <v>376</v>
      </c>
    </row>
    <row r="15" spans="1:3" x14ac:dyDescent="0.25">
      <c r="A15" s="31" t="s">
        <v>358</v>
      </c>
      <c r="B15" t="s">
        <v>68</v>
      </c>
      <c r="C15" t="s">
        <v>377</v>
      </c>
    </row>
    <row r="16" spans="1:3" x14ac:dyDescent="0.25">
      <c r="A16" s="31" t="s">
        <v>378</v>
      </c>
      <c r="B16" t="s">
        <v>379</v>
      </c>
      <c r="C16" t="s">
        <v>380</v>
      </c>
    </row>
    <row r="17" spans="1:4" x14ac:dyDescent="0.25">
      <c r="A17" s="31" t="s">
        <v>381</v>
      </c>
      <c r="B17" t="s">
        <v>382</v>
      </c>
      <c r="C17" t="s">
        <v>383</v>
      </c>
    </row>
    <row r="18" spans="1:4" x14ac:dyDescent="0.25">
      <c r="A18" t="s">
        <v>384</v>
      </c>
      <c r="B18" t="s">
        <v>385</v>
      </c>
      <c r="C18" t="s">
        <v>386</v>
      </c>
    </row>
    <row r="19" spans="1:4" x14ac:dyDescent="0.25">
      <c r="A19" t="s">
        <v>387</v>
      </c>
      <c r="B19" t="s">
        <v>388</v>
      </c>
      <c r="C19" t="s">
        <v>389</v>
      </c>
    </row>
    <row r="20" spans="1:4" x14ac:dyDescent="0.25">
      <c r="A20" t="s">
        <v>390</v>
      </c>
      <c r="B20" t="s">
        <v>391</v>
      </c>
      <c r="C20" t="s">
        <v>392</v>
      </c>
    </row>
    <row r="21" spans="1:4" x14ac:dyDescent="0.25">
      <c r="A21" t="s">
        <v>393</v>
      </c>
      <c r="B21" t="s">
        <v>394</v>
      </c>
      <c r="C21" t="s">
        <v>395</v>
      </c>
    </row>
    <row r="22" spans="1:4" x14ac:dyDescent="0.25">
      <c r="A22" t="s">
        <v>360</v>
      </c>
      <c r="B22" t="s">
        <v>77</v>
      </c>
      <c r="C22" t="s">
        <v>396</v>
      </c>
    </row>
    <row r="23" spans="1:4" x14ac:dyDescent="0.25">
      <c r="A23" t="s">
        <v>397</v>
      </c>
      <c r="B23" t="s">
        <v>398</v>
      </c>
      <c r="C23" t="s">
        <v>399</v>
      </c>
      <c r="D23" t="s">
        <v>400</v>
      </c>
    </row>
    <row r="24" spans="1:4" x14ac:dyDescent="0.25">
      <c r="A24" t="s">
        <v>361</v>
      </c>
      <c r="B24" t="s">
        <v>81</v>
      </c>
      <c r="C24" t="s">
        <v>401</v>
      </c>
    </row>
    <row r="25" spans="1:4" x14ac:dyDescent="0.25">
      <c r="A25" t="s">
        <v>402</v>
      </c>
      <c r="B25" t="s">
        <v>403</v>
      </c>
      <c r="C25" t="s">
        <v>404</v>
      </c>
    </row>
    <row r="26" spans="1:4" x14ac:dyDescent="0.25">
      <c r="A26" t="s">
        <v>359</v>
      </c>
      <c r="B26" t="s">
        <v>73</v>
      </c>
      <c r="C26" t="s">
        <v>405</v>
      </c>
    </row>
    <row r="27" spans="1:4" x14ac:dyDescent="0.25">
      <c r="A27" t="s">
        <v>406</v>
      </c>
      <c r="B27" t="s">
        <v>407</v>
      </c>
      <c r="C27" t="s">
        <v>408</v>
      </c>
    </row>
    <row r="28" spans="1:4" x14ac:dyDescent="0.25">
      <c r="A28" t="s">
        <v>409</v>
      </c>
      <c r="B28" t="s">
        <v>410</v>
      </c>
      <c r="C28" t="s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A7" sqref="A7"/>
    </sheetView>
  </sheetViews>
  <sheetFormatPr defaultRowHeight="15" x14ac:dyDescent="0.25"/>
  <cols>
    <col min="1" max="1" width="24.7109375" style="35" bestFit="1" customWidth="1"/>
    <col min="2" max="2" width="13.28515625" style="35" customWidth="1"/>
    <col min="3" max="3" width="16.28515625" style="35" customWidth="1"/>
    <col min="4" max="4" width="20.5703125" style="35" customWidth="1"/>
    <col min="5" max="5" width="72.5703125" style="35" customWidth="1"/>
  </cols>
  <sheetData>
    <row r="1" spans="1:5" x14ac:dyDescent="0.25">
      <c r="A1" t="s">
        <v>412</v>
      </c>
      <c r="B1" t="s">
        <v>413</v>
      </c>
      <c r="C1" t="s">
        <v>414</v>
      </c>
      <c r="D1" t="s">
        <v>415</v>
      </c>
      <c r="E1" t="s">
        <v>363</v>
      </c>
    </row>
    <row r="2" spans="1:5" x14ac:dyDescent="0.25">
      <c r="A2" t="s">
        <v>339</v>
      </c>
      <c r="B2" t="s">
        <v>330</v>
      </c>
      <c r="C2" t="s">
        <v>416</v>
      </c>
      <c r="D2" t="s">
        <v>417</v>
      </c>
      <c r="E2" t="s">
        <v>364</v>
      </c>
    </row>
    <row r="3" spans="1:5" x14ac:dyDescent="0.25">
      <c r="A3" t="s">
        <v>339</v>
      </c>
      <c r="B3" t="s">
        <v>332</v>
      </c>
      <c r="C3" t="s">
        <v>416</v>
      </c>
      <c r="D3" t="s">
        <v>417</v>
      </c>
      <c r="E3" t="s">
        <v>364</v>
      </c>
    </row>
    <row r="4" spans="1:5" x14ac:dyDescent="0.25">
      <c r="A4" t="s">
        <v>344</v>
      </c>
      <c r="B4" t="s">
        <v>418</v>
      </c>
      <c r="C4" t="s">
        <v>416</v>
      </c>
      <c r="D4" t="s">
        <v>419</v>
      </c>
      <c r="E4" t="s">
        <v>367</v>
      </c>
    </row>
    <row r="5" spans="1:5" x14ac:dyDescent="0.25">
      <c r="A5" t="s">
        <v>352</v>
      </c>
      <c r="B5" t="s">
        <v>330</v>
      </c>
      <c r="C5" t="s">
        <v>416</v>
      </c>
      <c r="D5" t="s">
        <v>420</v>
      </c>
      <c r="E5" t="s">
        <v>371</v>
      </c>
    </row>
    <row r="6" spans="1:5" x14ac:dyDescent="0.25">
      <c r="A6" t="s">
        <v>353</v>
      </c>
      <c r="B6" t="s">
        <v>327</v>
      </c>
      <c r="C6" t="s">
        <v>416</v>
      </c>
      <c r="D6" t="s">
        <v>421</v>
      </c>
      <c r="E6" t="s">
        <v>372</v>
      </c>
    </row>
    <row r="7" spans="1:5" x14ac:dyDescent="0.25">
      <c r="A7" t="s">
        <v>354</v>
      </c>
      <c r="B7" t="s">
        <v>422</v>
      </c>
      <c r="C7" t="s">
        <v>416</v>
      </c>
      <c r="D7" t="s">
        <v>423</v>
      </c>
      <c r="E7" t="s">
        <v>373</v>
      </c>
    </row>
    <row r="8" spans="1:5" x14ac:dyDescent="0.25">
      <c r="A8" t="s">
        <v>355</v>
      </c>
      <c r="B8" t="s">
        <v>332</v>
      </c>
      <c r="C8" t="s">
        <v>416</v>
      </c>
      <c r="D8" t="s">
        <v>421</v>
      </c>
      <c r="E8" t="s">
        <v>374</v>
      </c>
    </row>
    <row r="9" spans="1:5" x14ac:dyDescent="0.25">
      <c r="A9" t="s">
        <v>360</v>
      </c>
      <c r="B9" t="s">
        <v>331</v>
      </c>
      <c r="C9" t="s">
        <v>416</v>
      </c>
      <c r="D9" t="s">
        <v>424</v>
      </c>
      <c r="E9" t="s">
        <v>425</v>
      </c>
    </row>
    <row r="10" spans="1:5" x14ac:dyDescent="0.25">
      <c r="A10" t="s">
        <v>361</v>
      </c>
      <c r="B10" t="s">
        <v>330</v>
      </c>
      <c r="C10" t="s">
        <v>416</v>
      </c>
      <c r="D10" t="s">
        <v>417</v>
      </c>
      <c r="E10" t="s">
        <v>401</v>
      </c>
    </row>
    <row r="11" spans="1:5" x14ac:dyDescent="0.25">
      <c r="A11" t="s">
        <v>361</v>
      </c>
      <c r="B11" t="s">
        <v>332</v>
      </c>
      <c r="C11" t="s">
        <v>416</v>
      </c>
      <c r="D11" t="s">
        <v>417</v>
      </c>
      <c r="E11" t="s">
        <v>401</v>
      </c>
    </row>
    <row r="12" spans="1:5" x14ac:dyDescent="0.25">
      <c r="A12" t="s">
        <v>359</v>
      </c>
      <c r="B12" t="s">
        <v>422</v>
      </c>
      <c r="C12" t="s">
        <v>416</v>
      </c>
      <c r="D12" t="s">
        <v>426</v>
      </c>
      <c r="E12" t="s">
        <v>405</v>
      </c>
    </row>
    <row r="13" spans="1:5" x14ac:dyDescent="0.25">
      <c r="A13" t="s">
        <v>359</v>
      </c>
      <c r="B13" t="s">
        <v>330</v>
      </c>
      <c r="C13" t="s">
        <v>416</v>
      </c>
      <c r="D13" t="s">
        <v>426</v>
      </c>
      <c r="E13" t="s">
        <v>405</v>
      </c>
    </row>
    <row r="14" spans="1:5" x14ac:dyDescent="0.25">
      <c r="A14" t="s">
        <v>346</v>
      </c>
      <c r="B14" t="s">
        <v>331</v>
      </c>
      <c r="C14" t="s">
        <v>416</v>
      </c>
      <c r="D14" t="s">
        <v>427</v>
      </c>
      <c r="E14" t="s">
        <v>368</v>
      </c>
    </row>
    <row r="15" spans="1:5" x14ac:dyDescent="0.25">
      <c r="A15" t="s">
        <v>346</v>
      </c>
      <c r="B15" t="s">
        <v>332</v>
      </c>
      <c r="C15" t="s">
        <v>416</v>
      </c>
      <c r="D15" t="s">
        <v>427</v>
      </c>
      <c r="E15" t="s">
        <v>368</v>
      </c>
    </row>
    <row r="16" spans="1:5" x14ac:dyDescent="0.25">
      <c r="A16" t="s">
        <v>350</v>
      </c>
      <c r="B16" t="s">
        <v>330</v>
      </c>
      <c r="C16" t="s">
        <v>416</v>
      </c>
      <c r="D16" t="s">
        <v>428</v>
      </c>
      <c r="E16" t="s">
        <v>370</v>
      </c>
    </row>
    <row r="17" spans="1:5" x14ac:dyDescent="0.25">
      <c r="A17" t="s">
        <v>342</v>
      </c>
      <c r="B17" t="s">
        <v>422</v>
      </c>
      <c r="C17" t="s">
        <v>416</v>
      </c>
      <c r="D17" t="s">
        <v>429</v>
      </c>
      <c r="E17" t="s">
        <v>366</v>
      </c>
    </row>
    <row r="18" spans="1:5" x14ac:dyDescent="0.25">
      <c r="A18" t="s">
        <v>342</v>
      </c>
      <c r="B18" t="s">
        <v>330</v>
      </c>
      <c r="C18" t="s">
        <v>416</v>
      </c>
      <c r="D18" t="s">
        <v>430</v>
      </c>
      <c r="E18" t="s">
        <v>366</v>
      </c>
    </row>
    <row r="19" spans="1:5" x14ac:dyDescent="0.25">
      <c r="A19" t="s">
        <v>348</v>
      </c>
      <c r="B19" t="s">
        <v>418</v>
      </c>
      <c r="C19" t="s">
        <v>416</v>
      </c>
      <c r="D19" t="s">
        <v>431</v>
      </c>
    </row>
    <row r="20" spans="1:5" x14ac:dyDescent="0.25">
      <c r="A20" t="s">
        <v>348</v>
      </c>
      <c r="B20" t="s">
        <v>330</v>
      </c>
      <c r="C20" t="s">
        <v>416</v>
      </c>
      <c r="D20" t="s">
        <v>432</v>
      </c>
    </row>
    <row r="21" spans="1:5" x14ac:dyDescent="0.25">
      <c r="A21" t="s">
        <v>357</v>
      </c>
      <c r="B21" t="s">
        <v>422</v>
      </c>
      <c r="C21" t="s">
        <v>416</v>
      </c>
      <c r="D21" t="s">
        <v>433</v>
      </c>
    </row>
    <row r="22" spans="1:5" x14ac:dyDescent="0.25">
      <c r="A22" t="s">
        <v>357</v>
      </c>
      <c r="B22" t="s">
        <v>330</v>
      </c>
      <c r="C22" t="s">
        <v>416</v>
      </c>
      <c r="D22" t="s">
        <v>434</v>
      </c>
    </row>
    <row r="23" spans="1:5" x14ac:dyDescent="0.25">
      <c r="A23" t="s">
        <v>340</v>
      </c>
      <c r="B23" t="s">
        <v>422</v>
      </c>
      <c r="C23" t="s">
        <v>416</v>
      </c>
      <c r="D23" t="s">
        <v>435</v>
      </c>
      <c r="E23" t="s">
        <v>365</v>
      </c>
    </row>
    <row r="24" spans="1:5" x14ac:dyDescent="0.25">
      <c r="A24" t="s">
        <v>340</v>
      </c>
      <c r="B24" t="s">
        <v>330</v>
      </c>
      <c r="C24" t="s">
        <v>416</v>
      </c>
      <c r="D24" t="s">
        <v>434</v>
      </c>
      <c r="E24" t="s">
        <v>365</v>
      </c>
    </row>
    <row r="25" spans="1:5" x14ac:dyDescent="0.25">
      <c r="A25" t="s">
        <v>356</v>
      </c>
      <c r="B25" t="s">
        <v>418</v>
      </c>
      <c r="C25" t="s">
        <v>416</v>
      </c>
      <c r="D25" t="s">
        <v>436</v>
      </c>
      <c r="E25" t="s">
        <v>375</v>
      </c>
    </row>
    <row r="26" spans="1:5" x14ac:dyDescent="0.25">
      <c r="A26" t="s">
        <v>356</v>
      </c>
      <c r="B26" t="s">
        <v>330</v>
      </c>
      <c r="C26" t="s">
        <v>416</v>
      </c>
      <c r="D26" t="s">
        <v>434</v>
      </c>
      <c r="E26" t="s">
        <v>375</v>
      </c>
    </row>
    <row r="27" spans="1:5" x14ac:dyDescent="0.25">
      <c r="A27" t="s">
        <v>358</v>
      </c>
      <c r="B27" t="s">
        <v>331</v>
      </c>
      <c r="C27" t="s">
        <v>416</v>
      </c>
      <c r="D27" t="s">
        <v>437</v>
      </c>
      <c r="E27" t="s">
        <v>377</v>
      </c>
    </row>
    <row r="28" spans="1:5" x14ac:dyDescent="0.25">
      <c r="A28" t="s">
        <v>358</v>
      </c>
      <c r="B28" t="s">
        <v>332</v>
      </c>
      <c r="C28" t="s">
        <v>416</v>
      </c>
      <c r="D28" t="s">
        <v>434</v>
      </c>
      <c r="E28" t="s">
        <v>377</v>
      </c>
    </row>
    <row r="29" spans="1:5" x14ac:dyDescent="0.25">
      <c r="A29" t="s">
        <v>406</v>
      </c>
      <c r="B29" t="s">
        <v>330</v>
      </c>
      <c r="C29" t="s">
        <v>416</v>
      </c>
      <c r="D29" t="s">
        <v>417</v>
      </c>
      <c r="E29" t="s">
        <v>438</v>
      </c>
    </row>
  </sheetData>
  <dataValidations count="1">
    <dataValidation type="list" allowBlank="1" showInputMessage="1" showErrorMessage="1" sqref="B2:B16">
      <formula1>"HP, ATK, DEF, SPEED, DEF_SHRED, CRIT_RATE, CRIT_DMG, PEN, CRIT_DMG_RES, SHIELD, EHR,  RES,  None"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zoomScale="115" zoomScaleNormal="115" workbookViewId="0">
      <selection activeCell="A7" sqref="A7"/>
    </sheetView>
  </sheetViews>
  <sheetFormatPr defaultRowHeight="15" x14ac:dyDescent="0.25"/>
  <cols>
    <col min="1" max="1" width="26.7109375" style="35" customWidth="1"/>
    <col min="2" max="2" width="19.7109375" style="35" bestFit="1" customWidth="1"/>
    <col min="3" max="3" width="31.5703125" style="35" customWidth="1"/>
    <col min="4" max="4" width="35.28515625" style="35" customWidth="1"/>
    <col min="5" max="5" width="30" style="35" bestFit="1" customWidth="1"/>
    <col min="6" max="8" width="23.28515625" style="35" customWidth="1"/>
    <col min="9" max="9" width="67.42578125" style="35" customWidth="1"/>
  </cols>
  <sheetData>
    <row r="1" spans="1:9" x14ac:dyDescent="0.25">
      <c r="A1" t="s">
        <v>412</v>
      </c>
      <c r="B1" t="s">
        <v>439</v>
      </c>
      <c r="C1" t="s">
        <v>440</v>
      </c>
      <c r="D1" t="s">
        <v>415</v>
      </c>
      <c r="E1" t="s">
        <v>441</v>
      </c>
      <c r="F1" t="s">
        <v>442</v>
      </c>
      <c r="G1" t="s">
        <v>443</v>
      </c>
      <c r="H1" t="s">
        <v>444</v>
      </c>
      <c r="I1" t="s">
        <v>363</v>
      </c>
    </row>
    <row r="2" spans="1:9" x14ac:dyDescent="0.25">
      <c r="A2" t="s">
        <v>339</v>
      </c>
      <c r="B2" t="s">
        <v>445</v>
      </c>
      <c r="C2" t="s">
        <v>446</v>
      </c>
      <c r="D2" t="s">
        <v>429</v>
      </c>
      <c r="E2" t="s">
        <v>447</v>
      </c>
      <c r="F2">
        <v>0</v>
      </c>
      <c r="H2" t="s">
        <v>448</v>
      </c>
      <c r="I2" t="s">
        <v>364</v>
      </c>
    </row>
    <row r="3" spans="1:9" x14ac:dyDescent="0.25">
      <c r="A3" t="s">
        <v>340</v>
      </c>
      <c r="B3" t="s">
        <v>445</v>
      </c>
      <c r="C3" t="s">
        <v>449</v>
      </c>
      <c r="D3" t="s">
        <v>450</v>
      </c>
      <c r="E3" t="s">
        <v>451</v>
      </c>
      <c r="F3">
        <v>1</v>
      </c>
      <c r="G3">
        <v>0</v>
      </c>
      <c r="H3" t="s">
        <v>448</v>
      </c>
      <c r="I3" t="s">
        <v>365</v>
      </c>
    </row>
    <row r="4" spans="1:9" x14ac:dyDescent="0.25">
      <c r="A4" t="s">
        <v>344</v>
      </c>
      <c r="B4" t="s">
        <v>452</v>
      </c>
      <c r="C4" t="s">
        <v>453</v>
      </c>
      <c r="D4" t="s">
        <v>454</v>
      </c>
      <c r="E4" t="s">
        <v>455</v>
      </c>
      <c r="F4">
        <v>0</v>
      </c>
      <c r="G4">
        <v>0</v>
      </c>
      <c r="H4" t="s">
        <v>448</v>
      </c>
      <c r="I4" t="s">
        <v>367</v>
      </c>
    </row>
    <row r="5" spans="1:9" x14ac:dyDescent="0.25">
      <c r="A5" t="s">
        <v>352</v>
      </c>
      <c r="B5" t="s">
        <v>456</v>
      </c>
      <c r="C5" t="s">
        <v>457</v>
      </c>
      <c r="D5" t="s">
        <v>458</v>
      </c>
      <c r="E5" t="s">
        <v>459</v>
      </c>
      <c r="F5">
        <v>0</v>
      </c>
      <c r="G5">
        <v>0</v>
      </c>
      <c r="H5" t="s">
        <v>448</v>
      </c>
      <c r="I5" t="s">
        <v>371</v>
      </c>
    </row>
    <row r="6" spans="1:9" x14ac:dyDescent="0.25">
      <c r="A6" t="s">
        <v>378</v>
      </c>
      <c r="B6" t="s">
        <v>445</v>
      </c>
      <c r="C6" t="s">
        <v>460</v>
      </c>
      <c r="D6" t="s">
        <v>461</v>
      </c>
      <c r="E6" t="s">
        <v>462</v>
      </c>
      <c r="F6">
        <v>0</v>
      </c>
      <c r="G6">
        <v>0</v>
      </c>
      <c r="H6" t="s">
        <v>448</v>
      </c>
      <c r="I6" t="s">
        <v>463</v>
      </c>
    </row>
    <row r="7" spans="1:9" x14ac:dyDescent="0.25">
      <c r="A7" t="s">
        <v>384</v>
      </c>
      <c r="B7" t="s">
        <v>456</v>
      </c>
      <c r="C7" t="s">
        <v>464</v>
      </c>
      <c r="D7" t="s">
        <v>465</v>
      </c>
      <c r="E7" t="s">
        <v>462</v>
      </c>
      <c r="F7">
        <v>0</v>
      </c>
      <c r="G7">
        <v>0</v>
      </c>
      <c r="H7" t="s">
        <v>448</v>
      </c>
      <c r="I7" t="s">
        <v>466</v>
      </c>
    </row>
    <row r="8" spans="1:9" x14ac:dyDescent="0.25">
      <c r="A8" t="s">
        <v>387</v>
      </c>
      <c r="B8" t="s">
        <v>445</v>
      </c>
      <c r="C8" t="s">
        <v>467</v>
      </c>
      <c r="D8" t="s">
        <v>468</v>
      </c>
      <c r="E8" t="s">
        <v>469</v>
      </c>
      <c r="F8">
        <v>5</v>
      </c>
      <c r="G8">
        <v>0</v>
      </c>
      <c r="H8" t="s">
        <v>448</v>
      </c>
      <c r="I8" t="s">
        <v>389</v>
      </c>
    </row>
    <row r="9" spans="1:9" x14ac:dyDescent="0.25">
      <c r="A9" t="s">
        <v>390</v>
      </c>
      <c r="B9" t="s">
        <v>456</v>
      </c>
      <c r="C9" t="s">
        <v>470</v>
      </c>
      <c r="D9" t="s">
        <v>471</v>
      </c>
      <c r="E9" t="s">
        <v>472</v>
      </c>
      <c r="F9">
        <v>0</v>
      </c>
      <c r="G9">
        <v>0</v>
      </c>
      <c r="H9" t="s">
        <v>448</v>
      </c>
      <c r="I9" t="s">
        <v>392</v>
      </c>
    </row>
    <row r="10" spans="1:9" x14ac:dyDescent="0.25">
      <c r="A10" t="s">
        <v>393</v>
      </c>
      <c r="B10" t="s">
        <v>456</v>
      </c>
      <c r="C10" t="s">
        <v>473</v>
      </c>
      <c r="D10" t="s">
        <v>471</v>
      </c>
      <c r="E10" t="s">
        <v>472</v>
      </c>
      <c r="F10">
        <v>0</v>
      </c>
      <c r="G10">
        <v>0</v>
      </c>
      <c r="H10" t="s">
        <v>448</v>
      </c>
      <c r="I10" t="s">
        <v>474</v>
      </c>
    </row>
    <row r="11" spans="1:9" x14ac:dyDescent="0.25">
      <c r="A11" t="s">
        <v>381</v>
      </c>
      <c r="B11" t="s">
        <v>445</v>
      </c>
      <c r="C11" t="s">
        <v>475</v>
      </c>
      <c r="D11" t="s">
        <v>476</v>
      </c>
      <c r="E11" t="s">
        <v>472</v>
      </c>
      <c r="F11">
        <v>0</v>
      </c>
      <c r="G11">
        <v>0</v>
      </c>
      <c r="H11" t="s">
        <v>477</v>
      </c>
      <c r="I11" t="s">
        <v>478</v>
      </c>
    </row>
    <row r="12" spans="1:9" x14ac:dyDescent="0.25">
      <c r="A12" t="s">
        <v>397</v>
      </c>
      <c r="B12" t="s">
        <v>479</v>
      </c>
      <c r="C12" t="s">
        <v>480</v>
      </c>
      <c r="D12" t="s">
        <v>481</v>
      </c>
      <c r="E12" t="s">
        <v>469</v>
      </c>
      <c r="F12">
        <v>100</v>
      </c>
      <c r="G12">
        <v>0</v>
      </c>
      <c r="H12" t="s">
        <v>477</v>
      </c>
      <c r="I12" t="s">
        <v>482</v>
      </c>
    </row>
    <row r="13" spans="1:9" x14ac:dyDescent="0.25">
      <c r="A13" t="s">
        <v>361</v>
      </c>
      <c r="B13" t="s">
        <v>456</v>
      </c>
      <c r="C13" t="s">
        <v>457</v>
      </c>
      <c r="D13" t="s">
        <v>483</v>
      </c>
      <c r="E13" t="s">
        <v>484</v>
      </c>
      <c r="F13">
        <v>0</v>
      </c>
      <c r="G13">
        <v>0</v>
      </c>
      <c r="H13" t="s">
        <v>448</v>
      </c>
      <c r="I13" t="s">
        <v>485</v>
      </c>
    </row>
    <row r="14" spans="1:9" x14ac:dyDescent="0.25">
      <c r="A14" t="s">
        <v>361</v>
      </c>
      <c r="B14" t="s">
        <v>445</v>
      </c>
      <c r="C14" t="s">
        <v>460</v>
      </c>
      <c r="D14" t="s">
        <v>483</v>
      </c>
      <c r="E14" t="s">
        <v>486</v>
      </c>
      <c r="F14">
        <v>0</v>
      </c>
      <c r="G14">
        <v>0</v>
      </c>
      <c r="H14" t="s">
        <v>448</v>
      </c>
      <c r="I14" t="s">
        <v>487</v>
      </c>
    </row>
    <row r="15" spans="1:9" x14ac:dyDescent="0.25">
      <c r="A15" t="s">
        <v>402</v>
      </c>
      <c r="B15" t="s">
        <v>445</v>
      </c>
      <c r="C15" t="s">
        <v>488</v>
      </c>
      <c r="D15" t="s">
        <v>489</v>
      </c>
      <c r="E15" t="s">
        <v>490</v>
      </c>
      <c r="F15">
        <v>0</v>
      </c>
      <c r="G15">
        <v>0</v>
      </c>
      <c r="H15" t="s">
        <v>448</v>
      </c>
      <c r="I15" t="s">
        <v>404</v>
      </c>
    </row>
    <row r="16" spans="1:9" x14ac:dyDescent="0.25">
      <c r="A16" t="s">
        <v>359</v>
      </c>
      <c r="B16" t="s">
        <v>445</v>
      </c>
      <c r="C16" t="s">
        <v>446</v>
      </c>
      <c r="D16" t="s">
        <v>491</v>
      </c>
      <c r="E16" t="s">
        <v>492</v>
      </c>
      <c r="F16">
        <v>0</v>
      </c>
      <c r="G16">
        <v>0</v>
      </c>
      <c r="H16" t="s">
        <v>448</v>
      </c>
      <c r="I16" t="s">
        <v>493</v>
      </c>
    </row>
    <row r="17" spans="1:9" x14ac:dyDescent="0.25">
      <c r="A17" t="s">
        <v>346</v>
      </c>
      <c r="B17" t="s">
        <v>479</v>
      </c>
      <c r="C17" t="s">
        <v>494</v>
      </c>
      <c r="D17" t="s">
        <v>495</v>
      </c>
      <c r="E17" t="s">
        <v>455</v>
      </c>
      <c r="F17">
        <v>5</v>
      </c>
      <c r="G17">
        <v>0</v>
      </c>
      <c r="H17" t="s">
        <v>448</v>
      </c>
      <c r="I17" t="s">
        <v>496</v>
      </c>
    </row>
    <row r="18" spans="1:9" x14ac:dyDescent="0.25">
      <c r="A18" t="s">
        <v>342</v>
      </c>
      <c r="B18" t="s">
        <v>445</v>
      </c>
      <c r="C18" t="s">
        <v>446</v>
      </c>
      <c r="D18" t="s">
        <v>497</v>
      </c>
      <c r="E18" t="s">
        <v>492</v>
      </c>
      <c r="F18">
        <v>0</v>
      </c>
      <c r="G18">
        <v>0</v>
      </c>
      <c r="H18" t="s">
        <v>448</v>
      </c>
      <c r="I18" t="s">
        <v>366</v>
      </c>
    </row>
    <row r="19" spans="1:9" x14ac:dyDescent="0.25">
      <c r="A19" t="s">
        <v>342</v>
      </c>
      <c r="B19" t="s">
        <v>498</v>
      </c>
      <c r="C19" t="s">
        <v>488</v>
      </c>
      <c r="D19" t="s">
        <v>499</v>
      </c>
      <c r="E19" t="s">
        <v>500</v>
      </c>
      <c r="F19">
        <v>0</v>
      </c>
      <c r="G19">
        <v>0</v>
      </c>
      <c r="H19" t="s">
        <v>448</v>
      </c>
      <c r="I19" t="s">
        <v>366</v>
      </c>
    </row>
    <row r="20" spans="1:9" x14ac:dyDescent="0.25">
      <c r="A20" t="s">
        <v>348</v>
      </c>
      <c r="B20" t="s">
        <v>501</v>
      </c>
      <c r="C20" t="s">
        <v>446</v>
      </c>
      <c r="D20" t="s">
        <v>502</v>
      </c>
      <c r="F20">
        <v>0</v>
      </c>
      <c r="G20">
        <v>0</v>
      </c>
      <c r="H20" t="s">
        <v>448</v>
      </c>
      <c r="I20" t="s">
        <v>369</v>
      </c>
    </row>
    <row r="21" spans="1:9" x14ac:dyDescent="0.25">
      <c r="A21" t="s">
        <v>357</v>
      </c>
      <c r="B21" t="s">
        <v>445</v>
      </c>
      <c r="C21" t="s">
        <v>475</v>
      </c>
      <c r="D21" t="s">
        <v>497</v>
      </c>
      <c r="E21" t="s">
        <v>503</v>
      </c>
      <c r="F21">
        <v>60</v>
      </c>
      <c r="G21">
        <v>0</v>
      </c>
      <c r="H21" t="s">
        <v>477</v>
      </c>
      <c r="I21" t="s">
        <v>376</v>
      </c>
    </row>
    <row r="22" spans="1:9" x14ac:dyDescent="0.25">
      <c r="A22" t="s">
        <v>357</v>
      </c>
      <c r="B22" t="s">
        <v>456</v>
      </c>
      <c r="C22" t="s">
        <v>504</v>
      </c>
      <c r="D22" t="s">
        <v>497</v>
      </c>
      <c r="E22" t="s">
        <v>505</v>
      </c>
      <c r="F22">
        <v>0</v>
      </c>
      <c r="G22">
        <v>0</v>
      </c>
      <c r="H22" t="s">
        <v>448</v>
      </c>
      <c r="I22" t="s">
        <v>376</v>
      </c>
    </row>
    <row r="23" spans="1:9" x14ac:dyDescent="0.25">
      <c r="A23" t="s">
        <v>356</v>
      </c>
      <c r="B23" t="s">
        <v>456</v>
      </c>
      <c r="C23" t="s">
        <v>453</v>
      </c>
      <c r="D23" t="s">
        <v>506</v>
      </c>
      <c r="E23" t="s">
        <v>455</v>
      </c>
      <c r="F23">
        <v>0</v>
      </c>
      <c r="G23">
        <v>0</v>
      </c>
      <c r="H23" t="s">
        <v>448</v>
      </c>
      <c r="I23" t="s">
        <v>375</v>
      </c>
    </row>
    <row r="24" spans="1:9" x14ac:dyDescent="0.25">
      <c r="A24" t="s">
        <v>358</v>
      </c>
      <c r="B24" t="s">
        <v>456</v>
      </c>
      <c r="C24" t="s">
        <v>453</v>
      </c>
      <c r="D24" t="s">
        <v>507</v>
      </c>
      <c r="E24" t="s">
        <v>455</v>
      </c>
      <c r="F24">
        <v>0</v>
      </c>
      <c r="G24">
        <v>0</v>
      </c>
      <c r="H24" t="s">
        <v>448</v>
      </c>
      <c r="I24" t="s">
        <v>377</v>
      </c>
    </row>
    <row r="25" spans="1:9" x14ac:dyDescent="0.25">
      <c r="A25" t="s">
        <v>406</v>
      </c>
      <c r="B25" t="s">
        <v>445</v>
      </c>
      <c r="C25" t="s">
        <v>508</v>
      </c>
      <c r="D25" t="s">
        <v>509</v>
      </c>
      <c r="E25" t="s">
        <v>462</v>
      </c>
      <c r="F25">
        <v>0</v>
      </c>
      <c r="H25" t="s">
        <v>444</v>
      </c>
      <c r="I25" t="s">
        <v>510</v>
      </c>
    </row>
    <row r="26" spans="1:9" x14ac:dyDescent="0.25">
      <c r="A26" t="s">
        <v>409</v>
      </c>
      <c r="B26" t="s">
        <v>456</v>
      </c>
      <c r="C26" t="s">
        <v>473</v>
      </c>
      <c r="D26" t="s">
        <v>471</v>
      </c>
      <c r="E26" t="s">
        <v>472</v>
      </c>
      <c r="F26">
        <v>0</v>
      </c>
      <c r="G26">
        <v>0</v>
      </c>
      <c r="H26" t="s">
        <v>448</v>
      </c>
      <c r="I26" t="s">
        <v>511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130" zoomScaleNormal="130" workbookViewId="0">
      <selection activeCell="C8" sqref="C8"/>
    </sheetView>
  </sheetViews>
  <sheetFormatPr defaultRowHeight="15" x14ac:dyDescent="0.25"/>
  <cols>
    <col min="1" max="1" width="21.140625" style="35" customWidth="1"/>
    <col min="2" max="2" width="24" style="35" bestFit="1" customWidth="1"/>
    <col min="3" max="3" width="21.85546875" style="35" bestFit="1" customWidth="1"/>
    <col min="4" max="4" width="16.5703125" style="35" customWidth="1"/>
    <col min="5" max="6" width="16.5703125" style="36" customWidth="1"/>
    <col min="7" max="7" width="15.7109375" style="36" customWidth="1"/>
    <col min="8" max="8" width="14.5703125" style="36" customWidth="1"/>
    <col min="9" max="9" width="18.28515625" style="36" customWidth="1"/>
  </cols>
  <sheetData>
    <row r="1" spans="1:9" x14ac:dyDescent="0.25">
      <c r="A1" s="16" t="s">
        <v>0</v>
      </c>
      <c r="B1" s="16" t="s">
        <v>1</v>
      </c>
      <c r="C1" s="16" t="s">
        <v>512</v>
      </c>
      <c r="D1" s="16" t="s">
        <v>334</v>
      </c>
      <c r="E1" s="16" t="s">
        <v>513</v>
      </c>
      <c r="F1" s="16" t="s">
        <v>514</v>
      </c>
      <c r="G1" s="16" t="s">
        <v>515</v>
      </c>
      <c r="H1" s="16" t="s">
        <v>516</v>
      </c>
      <c r="I1" s="16" t="s">
        <v>517</v>
      </c>
    </row>
    <row r="2" spans="1:9" x14ac:dyDescent="0.25">
      <c r="A2" t="s">
        <v>518</v>
      </c>
      <c r="B2" t="s">
        <v>519</v>
      </c>
      <c r="C2" t="s">
        <v>520</v>
      </c>
      <c r="D2" s="36" t="s">
        <v>521</v>
      </c>
      <c r="E2" s="36" t="s">
        <v>455</v>
      </c>
      <c r="F2" s="36" t="s">
        <v>455</v>
      </c>
      <c r="G2" s="36">
        <v>3</v>
      </c>
      <c r="H2" s="36">
        <v>5</v>
      </c>
      <c r="I2" s="36">
        <v>1</v>
      </c>
    </row>
    <row r="3" spans="1:9" x14ac:dyDescent="0.25">
      <c r="A3" t="s">
        <v>522</v>
      </c>
      <c r="B3" t="s">
        <v>523</v>
      </c>
      <c r="C3" t="s">
        <v>524</v>
      </c>
      <c r="D3" s="36" t="s">
        <v>525</v>
      </c>
      <c r="E3" s="36" t="s">
        <v>455</v>
      </c>
      <c r="F3" s="36" t="s">
        <v>455</v>
      </c>
      <c r="G3" s="36">
        <v>1</v>
      </c>
      <c r="H3" s="36">
        <v>100</v>
      </c>
      <c r="I3" s="36">
        <v>1</v>
      </c>
    </row>
    <row r="4" spans="1:9" x14ac:dyDescent="0.25">
      <c r="A4" t="s">
        <v>526</v>
      </c>
      <c r="B4" t="s">
        <v>527</v>
      </c>
      <c r="C4" t="s">
        <v>528</v>
      </c>
      <c r="D4" s="36" t="s">
        <v>529</v>
      </c>
      <c r="E4" s="36" t="s">
        <v>330</v>
      </c>
      <c r="F4" s="36" t="s">
        <v>328</v>
      </c>
      <c r="G4" s="36">
        <v>3</v>
      </c>
      <c r="H4" s="36">
        <v>600</v>
      </c>
      <c r="I4" s="36">
        <v>1</v>
      </c>
    </row>
    <row r="5" spans="1:9" x14ac:dyDescent="0.25">
      <c r="A5" t="s">
        <v>530</v>
      </c>
      <c r="B5" t="s">
        <v>531</v>
      </c>
      <c r="C5" t="s">
        <v>532</v>
      </c>
      <c r="D5" s="36" t="s">
        <v>529</v>
      </c>
      <c r="E5" s="36" t="s">
        <v>332</v>
      </c>
      <c r="F5" s="36" t="s">
        <v>416</v>
      </c>
      <c r="G5" s="36">
        <v>2</v>
      </c>
      <c r="H5" s="36">
        <v>20</v>
      </c>
      <c r="I5" s="36">
        <v>1</v>
      </c>
    </row>
    <row r="6" spans="1:9" x14ac:dyDescent="0.25">
      <c r="A6" t="s">
        <v>533</v>
      </c>
      <c r="B6" t="s">
        <v>534</v>
      </c>
      <c r="C6" t="s">
        <v>535</v>
      </c>
      <c r="D6" s="36" t="s">
        <v>529</v>
      </c>
      <c r="E6" s="36" t="s">
        <v>418</v>
      </c>
      <c r="F6" s="36" t="s">
        <v>416</v>
      </c>
      <c r="G6" s="36">
        <v>2</v>
      </c>
      <c r="H6" s="36">
        <v>20</v>
      </c>
      <c r="I6" s="36">
        <v>1</v>
      </c>
    </row>
    <row r="7" spans="1:9" x14ac:dyDescent="0.25">
      <c r="A7" t="s">
        <v>508</v>
      </c>
      <c r="B7" t="s">
        <v>536</v>
      </c>
      <c r="C7" t="s">
        <v>537</v>
      </c>
      <c r="D7" s="36" t="s">
        <v>538</v>
      </c>
      <c r="E7" s="36" t="s">
        <v>418</v>
      </c>
      <c r="F7" s="36" t="s">
        <v>416</v>
      </c>
      <c r="G7" s="36">
        <v>2</v>
      </c>
      <c r="H7" s="36">
        <v>-20</v>
      </c>
      <c r="I7" s="36">
        <v>1</v>
      </c>
    </row>
    <row r="8" spans="1:9" x14ac:dyDescent="0.25">
      <c r="A8" t="s">
        <v>539</v>
      </c>
      <c r="B8" t="s">
        <v>540</v>
      </c>
      <c r="C8" t="s">
        <v>541</v>
      </c>
      <c r="D8" s="36" t="s">
        <v>542</v>
      </c>
      <c r="E8" s="36" t="s">
        <v>455</v>
      </c>
      <c r="F8" s="36" t="s">
        <v>455</v>
      </c>
      <c r="G8" s="36">
        <v>1</v>
      </c>
      <c r="H8" s="36">
        <v>0</v>
      </c>
      <c r="I8" s="36">
        <v>1</v>
      </c>
    </row>
    <row r="9" spans="1:9" x14ac:dyDescent="0.25">
      <c r="A9" t="s">
        <v>543</v>
      </c>
      <c r="B9" t="s">
        <v>544</v>
      </c>
      <c r="C9" t="s">
        <v>545</v>
      </c>
      <c r="D9" s="36" t="s">
        <v>546</v>
      </c>
      <c r="E9" s="36" t="s">
        <v>455</v>
      </c>
      <c r="F9" s="36" t="s">
        <v>455</v>
      </c>
      <c r="G9" s="36">
        <v>2</v>
      </c>
      <c r="H9" s="36">
        <v>100</v>
      </c>
      <c r="I9" s="36">
        <v>1</v>
      </c>
    </row>
    <row r="10" spans="1:9" x14ac:dyDescent="0.25">
      <c r="A10" t="s">
        <v>547</v>
      </c>
      <c r="B10" t="s">
        <v>527</v>
      </c>
      <c r="C10" t="s">
        <v>528</v>
      </c>
      <c r="D10" s="36" t="s">
        <v>529</v>
      </c>
      <c r="E10" s="36" t="s">
        <v>330</v>
      </c>
      <c r="F10" s="36" t="s">
        <v>416</v>
      </c>
      <c r="G10" s="36">
        <v>3</v>
      </c>
      <c r="H10" s="36">
        <v>30</v>
      </c>
      <c r="I10" s="36">
        <v>1</v>
      </c>
    </row>
    <row r="11" spans="1:9" x14ac:dyDescent="0.25">
      <c r="A11" t="s">
        <v>548</v>
      </c>
      <c r="B11" t="s">
        <v>519</v>
      </c>
      <c r="C11" t="s">
        <v>520</v>
      </c>
      <c r="D11" s="36" t="s">
        <v>521</v>
      </c>
      <c r="E11" s="36" t="s">
        <v>455</v>
      </c>
      <c r="F11" s="36" t="s">
        <v>416</v>
      </c>
      <c r="G11" s="36">
        <v>3</v>
      </c>
      <c r="H11" s="36">
        <v>8</v>
      </c>
      <c r="I11" s="36">
        <v>1</v>
      </c>
    </row>
    <row r="12" spans="1:9" x14ac:dyDescent="0.25">
      <c r="A12" t="s">
        <v>549</v>
      </c>
      <c r="B12" t="s">
        <v>550</v>
      </c>
      <c r="C12" t="s">
        <v>551</v>
      </c>
      <c r="D12" t="s">
        <v>538</v>
      </c>
      <c r="E12" t="s">
        <v>332</v>
      </c>
      <c r="F12" t="s">
        <v>416</v>
      </c>
      <c r="G12">
        <v>2</v>
      </c>
      <c r="H12">
        <v>-20</v>
      </c>
      <c r="I12">
        <v>1</v>
      </c>
    </row>
    <row r="13" spans="1:9" x14ac:dyDescent="0.25">
      <c r="A13" t="s">
        <v>552</v>
      </c>
      <c r="B13" t="s">
        <v>531</v>
      </c>
      <c r="C13" t="s">
        <v>532</v>
      </c>
      <c r="D13" t="s">
        <v>529</v>
      </c>
      <c r="E13" t="s">
        <v>332</v>
      </c>
      <c r="F13" t="s">
        <v>416</v>
      </c>
      <c r="G13">
        <v>2</v>
      </c>
      <c r="H13">
        <v>25</v>
      </c>
      <c r="I13">
        <v>1</v>
      </c>
    </row>
    <row r="14" spans="1:9" x14ac:dyDescent="0.25">
      <c r="A14" t="s">
        <v>553</v>
      </c>
      <c r="B14" t="s">
        <v>534</v>
      </c>
      <c r="C14" t="s">
        <v>535</v>
      </c>
      <c r="D14" t="s">
        <v>529</v>
      </c>
      <c r="E14" t="s">
        <v>418</v>
      </c>
      <c r="F14" t="s">
        <v>416</v>
      </c>
      <c r="G14">
        <v>2</v>
      </c>
      <c r="H14">
        <v>30</v>
      </c>
      <c r="I14">
        <v>1</v>
      </c>
    </row>
    <row r="15" spans="1:9" x14ac:dyDescent="0.25">
      <c r="A15" t="s">
        <v>554</v>
      </c>
      <c r="B15" t="s">
        <v>527</v>
      </c>
      <c r="C15" t="s">
        <v>528</v>
      </c>
      <c r="D15" t="s">
        <v>529</v>
      </c>
      <c r="E15" t="s">
        <v>330</v>
      </c>
      <c r="F15" t="s">
        <v>416</v>
      </c>
      <c r="G15">
        <v>2</v>
      </c>
      <c r="H15">
        <v>20</v>
      </c>
      <c r="I15">
        <v>1</v>
      </c>
    </row>
    <row r="16" spans="1:9" x14ac:dyDescent="0.25">
      <c r="A16" t="s">
        <v>555</v>
      </c>
      <c r="B16" t="s">
        <v>556</v>
      </c>
      <c r="C16" t="s">
        <v>557</v>
      </c>
      <c r="D16" t="s">
        <v>558</v>
      </c>
      <c r="E16" t="s">
        <v>455</v>
      </c>
      <c r="F16" t="s">
        <v>455</v>
      </c>
      <c r="G16">
        <v>1</v>
      </c>
      <c r="H16">
        <v>100</v>
      </c>
      <c r="I16">
        <v>1</v>
      </c>
    </row>
    <row r="17" spans="1:9" x14ac:dyDescent="0.25">
      <c r="A17" t="s">
        <v>559</v>
      </c>
      <c r="B17" t="s">
        <v>560</v>
      </c>
      <c r="C17" t="s">
        <v>561</v>
      </c>
      <c r="D17" t="s">
        <v>562</v>
      </c>
      <c r="E17" t="s">
        <v>455</v>
      </c>
      <c r="F17" t="s">
        <v>416</v>
      </c>
      <c r="G17">
        <v>2</v>
      </c>
      <c r="H17">
        <v>8</v>
      </c>
      <c r="I17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opLeftCell="B7" zoomScale="145" zoomScaleNormal="145" workbookViewId="0">
      <selection activeCell="G25" sqref="G25"/>
    </sheetView>
  </sheetViews>
  <sheetFormatPr defaultRowHeight="15" x14ac:dyDescent="0.25"/>
  <cols>
    <col min="1" max="1" width="19.42578125" style="35" bestFit="1" customWidth="1"/>
    <col min="2" max="2" width="10.5703125" style="35" bestFit="1" customWidth="1"/>
    <col min="3" max="3" width="9.42578125" style="35" bestFit="1" customWidth="1"/>
    <col min="4" max="4" width="11.140625" style="35" bestFit="1" customWidth="1"/>
    <col min="5" max="5" width="17.85546875" style="35" customWidth="1"/>
    <col min="6" max="6" width="14.85546875" style="35" bestFit="1" customWidth="1"/>
    <col min="7" max="7" width="14.85546875" style="35" customWidth="1"/>
    <col min="8" max="8" width="15.28515625" style="35" customWidth="1"/>
    <col min="10" max="10" width="73.28515625" style="35" customWidth="1"/>
  </cols>
  <sheetData>
    <row r="1" spans="1:8" x14ac:dyDescent="0.25">
      <c r="A1" s="1" t="s">
        <v>0</v>
      </c>
      <c r="B1" s="16" t="s">
        <v>563</v>
      </c>
      <c r="C1" s="16" t="s">
        <v>564</v>
      </c>
      <c r="D1" s="16" t="s">
        <v>25</v>
      </c>
      <c r="E1" s="16" t="s">
        <v>565</v>
      </c>
      <c r="F1" s="16" t="s">
        <v>566</v>
      </c>
      <c r="G1" s="16" t="s">
        <v>567</v>
      </c>
      <c r="H1" s="16" t="s">
        <v>568</v>
      </c>
    </row>
    <row r="2" spans="1:8" x14ac:dyDescent="0.25">
      <c r="A2" s="15" t="s">
        <v>249</v>
      </c>
      <c r="B2" s="42" t="s">
        <v>569</v>
      </c>
      <c r="C2" s="42" t="s">
        <v>570</v>
      </c>
      <c r="D2" s="2" t="s">
        <v>12</v>
      </c>
      <c r="E2" s="36" t="s">
        <v>571</v>
      </c>
      <c r="F2" s="42">
        <v>500</v>
      </c>
      <c r="G2" s="42" t="s">
        <v>328</v>
      </c>
      <c r="H2" t="s">
        <v>572</v>
      </c>
    </row>
    <row r="3" spans="1:8" x14ac:dyDescent="0.25">
      <c r="A3" s="15" t="s">
        <v>252</v>
      </c>
      <c r="B3" s="42" t="s">
        <v>569</v>
      </c>
      <c r="C3" s="42" t="s">
        <v>573</v>
      </c>
      <c r="D3" s="3" t="s">
        <v>25</v>
      </c>
      <c r="E3" s="36" t="s">
        <v>571</v>
      </c>
      <c r="F3" s="42">
        <v>500</v>
      </c>
      <c r="G3" s="42" t="s">
        <v>328</v>
      </c>
      <c r="H3" t="s">
        <v>572</v>
      </c>
    </row>
    <row r="4" spans="1:8" x14ac:dyDescent="0.25">
      <c r="A4" s="15" t="s">
        <v>254</v>
      </c>
      <c r="B4" s="42" t="s">
        <v>569</v>
      </c>
      <c r="C4" s="42" t="s">
        <v>574</v>
      </c>
      <c r="D4" s="6" t="s">
        <v>48</v>
      </c>
      <c r="E4" s="36" t="s">
        <v>571</v>
      </c>
      <c r="F4" s="42">
        <v>500</v>
      </c>
      <c r="G4" s="42" t="s">
        <v>328</v>
      </c>
      <c r="H4" t="s">
        <v>575</v>
      </c>
    </row>
    <row r="5" spans="1:8" x14ac:dyDescent="0.25">
      <c r="A5" s="15" t="s">
        <v>256</v>
      </c>
      <c r="B5" s="42" t="s">
        <v>569</v>
      </c>
      <c r="C5" s="42" t="s">
        <v>576</v>
      </c>
      <c r="D5" s="14" t="s">
        <v>43</v>
      </c>
      <c r="E5" s="36" t="s">
        <v>571</v>
      </c>
      <c r="F5" s="42">
        <v>500</v>
      </c>
      <c r="G5" s="42" t="s">
        <v>328</v>
      </c>
      <c r="H5" t="s">
        <v>575</v>
      </c>
    </row>
    <row r="6" spans="1:8" x14ac:dyDescent="0.25">
      <c r="A6" s="15" t="s">
        <v>258</v>
      </c>
      <c r="B6" s="42" t="s">
        <v>569</v>
      </c>
      <c r="C6" s="42" t="s">
        <v>577</v>
      </c>
      <c r="D6" s="12" t="s">
        <v>38</v>
      </c>
      <c r="E6" s="36" t="s">
        <v>571</v>
      </c>
      <c r="F6" s="42">
        <v>500</v>
      </c>
      <c r="G6" s="42" t="s">
        <v>328</v>
      </c>
      <c r="H6" t="s">
        <v>572</v>
      </c>
    </row>
    <row r="7" spans="1:8" x14ac:dyDescent="0.25">
      <c r="A7" s="15" t="s">
        <v>260</v>
      </c>
      <c r="B7" s="42" t="s">
        <v>569</v>
      </c>
      <c r="C7" s="42" t="s">
        <v>578</v>
      </c>
      <c r="D7" s="14" t="s">
        <v>43</v>
      </c>
      <c r="E7" s="36" t="s">
        <v>571</v>
      </c>
      <c r="F7" s="42">
        <v>500</v>
      </c>
      <c r="G7" s="42" t="s">
        <v>328</v>
      </c>
      <c r="H7" t="s">
        <v>579</v>
      </c>
    </row>
    <row r="8" spans="1:8" x14ac:dyDescent="0.25">
      <c r="A8" s="15" t="s">
        <v>262</v>
      </c>
      <c r="B8" s="42" t="s">
        <v>569</v>
      </c>
      <c r="C8" s="42" t="s">
        <v>580</v>
      </c>
      <c r="D8" s="2" t="s">
        <v>12</v>
      </c>
      <c r="E8" s="36" t="s">
        <v>571</v>
      </c>
      <c r="F8" s="42">
        <v>500</v>
      </c>
      <c r="G8" s="42" t="s">
        <v>328</v>
      </c>
      <c r="H8" t="s">
        <v>579</v>
      </c>
    </row>
    <row r="9" spans="1:8" x14ac:dyDescent="0.25">
      <c r="A9" s="15" t="s">
        <v>264</v>
      </c>
      <c r="B9" s="42" t="s">
        <v>569</v>
      </c>
      <c r="C9" s="42" t="s">
        <v>581</v>
      </c>
      <c r="D9" s="2" t="s">
        <v>12</v>
      </c>
      <c r="E9" s="36" t="s">
        <v>571</v>
      </c>
      <c r="F9" s="42">
        <v>500</v>
      </c>
      <c r="G9" s="42" t="s">
        <v>328</v>
      </c>
      <c r="H9" t="s">
        <v>572</v>
      </c>
    </row>
    <row r="10" spans="1:8" x14ac:dyDescent="0.25">
      <c r="A10" s="15" t="s">
        <v>266</v>
      </c>
      <c r="B10" s="42" t="s">
        <v>582</v>
      </c>
      <c r="C10" s="42" t="s">
        <v>570</v>
      </c>
      <c r="D10" s="2" t="s">
        <v>12</v>
      </c>
      <c r="E10" s="36" t="s">
        <v>583</v>
      </c>
      <c r="F10" s="42">
        <v>40</v>
      </c>
      <c r="G10" s="42" t="s">
        <v>328</v>
      </c>
      <c r="H10" t="s">
        <v>572</v>
      </c>
    </row>
    <row r="11" spans="1:8" x14ac:dyDescent="0.25">
      <c r="A11" s="15" t="s">
        <v>267</v>
      </c>
      <c r="B11" s="42" t="s">
        <v>582</v>
      </c>
      <c r="C11" s="42" t="s">
        <v>573</v>
      </c>
      <c r="D11" s="3" t="s">
        <v>25</v>
      </c>
      <c r="E11" s="36" t="s">
        <v>583</v>
      </c>
      <c r="F11" s="42">
        <v>40</v>
      </c>
      <c r="G11" s="42" t="s">
        <v>328</v>
      </c>
      <c r="H11" t="s">
        <v>572</v>
      </c>
    </row>
    <row r="12" spans="1:8" x14ac:dyDescent="0.25">
      <c r="A12" s="15" t="s">
        <v>268</v>
      </c>
      <c r="B12" s="42" t="s">
        <v>582</v>
      </c>
      <c r="C12" s="42" t="s">
        <v>574</v>
      </c>
      <c r="D12" s="6" t="s">
        <v>48</v>
      </c>
      <c r="E12" s="36" t="s">
        <v>583</v>
      </c>
      <c r="F12" s="42">
        <v>40</v>
      </c>
      <c r="G12" s="42" t="s">
        <v>328</v>
      </c>
      <c r="H12" t="s">
        <v>575</v>
      </c>
    </row>
    <row r="13" spans="1:8" x14ac:dyDescent="0.25">
      <c r="A13" s="15" t="s">
        <v>269</v>
      </c>
      <c r="B13" s="42" t="s">
        <v>582</v>
      </c>
      <c r="C13" s="42" t="s">
        <v>576</v>
      </c>
      <c r="D13" s="14" t="s">
        <v>43</v>
      </c>
      <c r="E13" s="36" t="s">
        <v>583</v>
      </c>
      <c r="F13" s="42">
        <v>40</v>
      </c>
      <c r="G13" s="42" t="s">
        <v>328</v>
      </c>
      <c r="H13" t="s">
        <v>575</v>
      </c>
    </row>
    <row r="14" spans="1:8" x14ac:dyDescent="0.25">
      <c r="A14" s="15" t="s">
        <v>270</v>
      </c>
      <c r="B14" s="42" t="s">
        <v>582</v>
      </c>
      <c r="C14" s="42" t="s">
        <v>577</v>
      </c>
      <c r="D14" s="12" t="s">
        <v>38</v>
      </c>
      <c r="E14" s="36" t="s">
        <v>583</v>
      </c>
      <c r="F14" s="42">
        <v>40</v>
      </c>
      <c r="G14" s="42" t="s">
        <v>328</v>
      </c>
      <c r="H14" t="s">
        <v>572</v>
      </c>
    </row>
    <row r="15" spans="1:8" x14ac:dyDescent="0.25">
      <c r="A15" s="15" t="s">
        <v>271</v>
      </c>
      <c r="B15" s="42" t="s">
        <v>582</v>
      </c>
      <c r="C15" s="42" t="s">
        <v>578</v>
      </c>
      <c r="D15" s="14" t="s">
        <v>43</v>
      </c>
      <c r="E15" s="36" t="s">
        <v>583</v>
      </c>
      <c r="F15" s="42">
        <v>40</v>
      </c>
      <c r="G15" s="42" t="s">
        <v>328</v>
      </c>
      <c r="H15" t="s">
        <v>579</v>
      </c>
    </row>
    <row r="16" spans="1:8" x14ac:dyDescent="0.25">
      <c r="A16" s="15" t="s">
        <v>272</v>
      </c>
      <c r="B16" s="42" t="s">
        <v>582</v>
      </c>
      <c r="C16" s="42" t="s">
        <v>580</v>
      </c>
      <c r="D16" s="2" t="s">
        <v>12</v>
      </c>
      <c r="E16" s="36" t="s">
        <v>583</v>
      </c>
      <c r="F16" s="42">
        <v>40</v>
      </c>
      <c r="G16" s="42" t="s">
        <v>328</v>
      </c>
      <c r="H16" t="s">
        <v>579</v>
      </c>
    </row>
    <row r="17" spans="1:8" x14ac:dyDescent="0.25">
      <c r="A17" s="15" t="s">
        <v>273</v>
      </c>
      <c r="B17" s="42" t="s">
        <v>582</v>
      </c>
      <c r="C17" s="42" t="s">
        <v>581</v>
      </c>
      <c r="D17" s="2" t="s">
        <v>12</v>
      </c>
      <c r="E17" s="36" t="s">
        <v>583</v>
      </c>
      <c r="F17" s="42">
        <v>40</v>
      </c>
      <c r="G17" s="42" t="s">
        <v>328</v>
      </c>
      <c r="H17" t="s">
        <v>572</v>
      </c>
    </row>
    <row r="18" spans="1:8" x14ac:dyDescent="0.25">
      <c r="A18" s="15" t="s">
        <v>274</v>
      </c>
      <c r="B18" s="42" t="s">
        <v>584</v>
      </c>
      <c r="C18" s="42" t="s">
        <v>570</v>
      </c>
      <c r="D18" s="2" t="s">
        <v>12</v>
      </c>
      <c r="E18" s="36" t="s">
        <v>585</v>
      </c>
      <c r="F18" s="42">
        <v>50</v>
      </c>
      <c r="G18" s="42" t="s">
        <v>328</v>
      </c>
      <c r="H18" t="s">
        <v>572</v>
      </c>
    </row>
    <row r="19" spans="1:8" x14ac:dyDescent="0.25">
      <c r="A19" s="15" t="s">
        <v>275</v>
      </c>
      <c r="B19" s="42" t="s">
        <v>584</v>
      </c>
      <c r="C19" s="42" t="s">
        <v>573</v>
      </c>
      <c r="D19" s="3" t="s">
        <v>25</v>
      </c>
      <c r="E19" s="36" t="s">
        <v>585</v>
      </c>
      <c r="F19" s="42">
        <v>50</v>
      </c>
      <c r="G19" s="42" t="s">
        <v>328</v>
      </c>
      <c r="H19" t="s">
        <v>572</v>
      </c>
    </row>
    <row r="20" spans="1:8" x14ac:dyDescent="0.25">
      <c r="A20" s="15" t="s">
        <v>276</v>
      </c>
      <c r="B20" s="42" t="s">
        <v>584</v>
      </c>
      <c r="C20" s="42" t="s">
        <v>574</v>
      </c>
      <c r="D20" s="6" t="s">
        <v>48</v>
      </c>
      <c r="E20" s="36" t="s">
        <v>585</v>
      </c>
      <c r="F20" s="42">
        <v>50</v>
      </c>
      <c r="G20" s="42" t="s">
        <v>328</v>
      </c>
      <c r="H20" t="s">
        <v>575</v>
      </c>
    </row>
    <row r="21" spans="1:8" x14ac:dyDescent="0.25">
      <c r="A21" s="15" t="s">
        <v>277</v>
      </c>
      <c r="B21" s="42" t="s">
        <v>584</v>
      </c>
      <c r="C21" s="42" t="s">
        <v>576</v>
      </c>
      <c r="D21" s="14" t="s">
        <v>43</v>
      </c>
      <c r="E21" s="36" t="s">
        <v>585</v>
      </c>
      <c r="F21" s="42">
        <v>50</v>
      </c>
      <c r="G21" s="42" t="s">
        <v>328</v>
      </c>
      <c r="H21" t="s">
        <v>575</v>
      </c>
    </row>
    <row r="22" spans="1:8" x14ac:dyDescent="0.25">
      <c r="A22" s="15" t="s">
        <v>278</v>
      </c>
      <c r="B22" s="42" t="s">
        <v>584</v>
      </c>
      <c r="C22" s="42" t="s">
        <v>577</v>
      </c>
      <c r="D22" s="12" t="s">
        <v>38</v>
      </c>
      <c r="E22" s="36" t="s">
        <v>585</v>
      </c>
      <c r="F22" s="42">
        <v>50</v>
      </c>
      <c r="G22" s="42" t="s">
        <v>328</v>
      </c>
      <c r="H22" t="s">
        <v>572</v>
      </c>
    </row>
    <row r="23" spans="1:8" x14ac:dyDescent="0.25">
      <c r="A23" s="15" t="s">
        <v>279</v>
      </c>
      <c r="B23" s="42" t="s">
        <v>584</v>
      </c>
      <c r="C23" s="42" t="s">
        <v>578</v>
      </c>
      <c r="D23" s="14" t="s">
        <v>43</v>
      </c>
      <c r="E23" s="36" t="s">
        <v>585</v>
      </c>
      <c r="F23" s="42">
        <v>50</v>
      </c>
      <c r="G23" s="42" t="s">
        <v>328</v>
      </c>
      <c r="H23" t="s">
        <v>579</v>
      </c>
    </row>
    <row r="24" spans="1:8" x14ac:dyDescent="0.25">
      <c r="A24" s="15" t="s">
        <v>280</v>
      </c>
      <c r="B24" s="42" t="s">
        <v>584</v>
      </c>
      <c r="C24" s="42" t="s">
        <v>580</v>
      </c>
      <c r="D24" s="2" t="s">
        <v>12</v>
      </c>
      <c r="E24" s="36" t="s">
        <v>585</v>
      </c>
      <c r="F24" s="42">
        <v>50</v>
      </c>
      <c r="G24" s="42" t="s">
        <v>328</v>
      </c>
      <c r="H24" t="s">
        <v>579</v>
      </c>
    </row>
    <row r="25" spans="1:8" x14ac:dyDescent="0.25">
      <c r="A25" s="15" t="s">
        <v>281</v>
      </c>
      <c r="B25" s="42" t="s">
        <v>584</v>
      </c>
      <c r="C25" s="42" t="s">
        <v>581</v>
      </c>
      <c r="D25" s="2" t="s">
        <v>12</v>
      </c>
      <c r="E25" s="36" t="s">
        <v>585</v>
      </c>
      <c r="F25" s="42">
        <v>50</v>
      </c>
      <c r="G25" s="42" t="s">
        <v>328</v>
      </c>
      <c r="H25" t="s">
        <v>572</v>
      </c>
    </row>
    <row r="26" spans="1:8" x14ac:dyDescent="0.25">
      <c r="A26" s="15" t="s">
        <v>282</v>
      </c>
      <c r="B26" s="42" t="s">
        <v>586</v>
      </c>
      <c r="C26" s="42" t="s">
        <v>570</v>
      </c>
      <c r="D26" s="2" t="s">
        <v>12</v>
      </c>
      <c r="E26" s="36" t="s">
        <v>587</v>
      </c>
      <c r="F26" s="42">
        <v>3</v>
      </c>
      <c r="G26" s="42" t="s">
        <v>328</v>
      </c>
      <c r="H26" t="s">
        <v>572</v>
      </c>
    </row>
    <row r="27" spans="1:8" x14ac:dyDescent="0.25">
      <c r="A27" s="15" t="s">
        <v>283</v>
      </c>
      <c r="B27" s="42" t="s">
        <v>586</v>
      </c>
      <c r="C27" s="42" t="s">
        <v>573</v>
      </c>
      <c r="D27" s="3" t="s">
        <v>25</v>
      </c>
      <c r="E27" s="36" t="s">
        <v>587</v>
      </c>
      <c r="F27" s="42">
        <v>3</v>
      </c>
      <c r="G27" s="42" t="s">
        <v>328</v>
      </c>
      <c r="H27" t="s">
        <v>572</v>
      </c>
    </row>
    <row r="28" spans="1:8" x14ac:dyDescent="0.25">
      <c r="A28" s="15" t="s">
        <v>284</v>
      </c>
      <c r="B28" s="42" t="s">
        <v>586</v>
      </c>
      <c r="C28" s="42" t="s">
        <v>574</v>
      </c>
      <c r="D28" s="6" t="s">
        <v>48</v>
      </c>
      <c r="E28" s="36" t="s">
        <v>587</v>
      </c>
      <c r="F28" s="42">
        <v>3</v>
      </c>
      <c r="G28" s="42" t="s">
        <v>328</v>
      </c>
      <c r="H28" t="s">
        <v>575</v>
      </c>
    </row>
    <row r="29" spans="1:8" x14ac:dyDescent="0.25">
      <c r="A29" s="15" t="s">
        <v>285</v>
      </c>
      <c r="B29" s="42" t="s">
        <v>586</v>
      </c>
      <c r="C29" s="42" t="s">
        <v>576</v>
      </c>
      <c r="D29" s="14" t="s">
        <v>43</v>
      </c>
      <c r="E29" s="36" t="s">
        <v>587</v>
      </c>
      <c r="F29" s="42">
        <v>3</v>
      </c>
      <c r="G29" s="42" t="s">
        <v>328</v>
      </c>
      <c r="H29" t="s">
        <v>575</v>
      </c>
    </row>
    <row r="30" spans="1:8" x14ac:dyDescent="0.25">
      <c r="A30" s="15" t="s">
        <v>286</v>
      </c>
      <c r="B30" s="42" t="s">
        <v>586</v>
      </c>
      <c r="C30" s="42" t="s">
        <v>577</v>
      </c>
      <c r="D30" s="12" t="s">
        <v>38</v>
      </c>
      <c r="E30" s="36" t="s">
        <v>587</v>
      </c>
      <c r="F30" s="42">
        <v>3</v>
      </c>
      <c r="G30" s="42" t="s">
        <v>328</v>
      </c>
      <c r="H30" t="s">
        <v>572</v>
      </c>
    </row>
    <row r="31" spans="1:8" x14ac:dyDescent="0.25">
      <c r="A31" s="15" t="s">
        <v>287</v>
      </c>
      <c r="B31" s="42" t="s">
        <v>586</v>
      </c>
      <c r="C31" s="42" t="s">
        <v>578</v>
      </c>
      <c r="D31" s="14" t="s">
        <v>43</v>
      </c>
      <c r="E31" s="36" t="s">
        <v>587</v>
      </c>
      <c r="F31" s="42">
        <v>3</v>
      </c>
      <c r="G31" s="42" t="s">
        <v>328</v>
      </c>
      <c r="H31" t="s">
        <v>579</v>
      </c>
    </row>
    <row r="32" spans="1:8" x14ac:dyDescent="0.25">
      <c r="A32" s="15" t="s">
        <v>288</v>
      </c>
      <c r="B32" s="42" t="s">
        <v>586</v>
      </c>
      <c r="C32" s="42" t="s">
        <v>580</v>
      </c>
      <c r="D32" s="2" t="s">
        <v>12</v>
      </c>
      <c r="E32" s="36" t="s">
        <v>587</v>
      </c>
      <c r="F32" s="42">
        <v>3</v>
      </c>
      <c r="G32" s="42" t="s">
        <v>328</v>
      </c>
      <c r="H32" t="s">
        <v>579</v>
      </c>
    </row>
    <row r="33" spans="1:8" x14ac:dyDescent="0.25">
      <c r="A33" s="15" t="s">
        <v>289</v>
      </c>
      <c r="B33" s="42" t="s">
        <v>586</v>
      </c>
      <c r="C33" s="42" t="s">
        <v>581</v>
      </c>
      <c r="D33" s="2" t="s">
        <v>12</v>
      </c>
      <c r="E33" s="36" t="s">
        <v>587</v>
      </c>
      <c r="F33" s="42">
        <v>3</v>
      </c>
      <c r="G33" s="42" t="s">
        <v>328</v>
      </c>
      <c r="H33" t="s">
        <v>572</v>
      </c>
    </row>
    <row r="34" spans="1:8" x14ac:dyDescent="0.25">
      <c r="A34" s="15" t="s">
        <v>290</v>
      </c>
      <c r="B34" s="42" t="s">
        <v>588</v>
      </c>
      <c r="C34" s="42" t="s">
        <v>570</v>
      </c>
      <c r="D34" s="2" t="s">
        <v>12</v>
      </c>
      <c r="E34" s="36" t="s">
        <v>571</v>
      </c>
      <c r="F34" s="42" t="s">
        <v>589</v>
      </c>
      <c r="G34" s="42" t="s">
        <v>416</v>
      </c>
      <c r="H34" t="s">
        <v>572</v>
      </c>
    </row>
    <row r="35" spans="1:8" x14ac:dyDescent="0.25">
      <c r="A35" s="15" t="s">
        <v>291</v>
      </c>
      <c r="B35" s="42" t="s">
        <v>588</v>
      </c>
      <c r="C35" s="42" t="s">
        <v>573</v>
      </c>
      <c r="D35" s="3" t="s">
        <v>25</v>
      </c>
      <c r="E35" s="36" t="s">
        <v>571</v>
      </c>
      <c r="F35" s="42" t="s">
        <v>589</v>
      </c>
      <c r="G35" s="42" t="s">
        <v>416</v>
      </c>
      <c r="H35" t="s">
        <v>572</v>
      </c>
    </row>
    <row r="36" spans="1:8" x14ac:dyDescent="0.25">
      <c r="A36" s="15" t="s">
        <v>292</v>
      </c>
      <c r="B36" s="42" t="s">
        <v>588</v>
      </c>
      <c r="C36" s="42" t="s">
        <v>574</v>
      </c>
      <c r="D36" s="6" t="s">
        <v>48</v>
      </c>
      <c r="E36" s="36" t="s">
        <v>571</v>
      </c>
      <c r="F36" s="42" t="s">
        <v>589</v>
      </c>
      <c r="G36" s="42" t="s">
        <v>416</v>
      </c>
      <c r="H36" t="s">
        <v>575</v>
      </c>
    </row>
    <row r="37" spans="1:8" x14ac:dyDescent="0.25">
      <c r="A37" s="15" t="s">
        <v>293</v>
      </c>
      <c r="B37" s="42" t="s">
        <v>588</v>
      </c>
      <c r="C37" s="42" t="s">
        <v>576</v>
      </c>
      <c r="D37" s="14" t="s">
        <v>43</v>
      </c>
      <c r="E37" s="36" t="s">
        <v>571</v>
      </c>
      <c r="F37" s="42" t="s">
        <v>589</v>
      </c>
      <c r="G37" s="42" t="s">
        <v>416</v>
      </c>
      <c r="H37" t="s">
        <v>575</v>
      </c>
    </row>
    <row r="38" spans="1:8" x14ac:dyDescent="0.25">
      <c r="A38" s="15" t="s">
        <v>294</v>
      </c>
      <c r="B38" s="42" t="s">
        <v>588</v>
      </c>
      <c r="C38" s="42" t="s">
        <v>577</v>
      </c>
      <c r="D38" s="12" t="s">
        <v>38</v>
      </c>
      <c r="E38" s="36" t="s">
        <v>571</v>
      </c>
      <c r="F38" s="42" t="s">
        <v>589</v>
      </c>
      <c r="G38" s="42" t="s">
        <v>416</v>
      </c>
      <c r="H38" t="s">
        <v>572</v>
      </c>
    </row>
    <row r="39" spans="1:8" x14ac:dyDescent="0.25">
      <c r="A39" s="15" t="s">
        <v>295</v>
      </c>
      <c r="B39" s="42" t="s">
        <v>588</v>
      </c>
      <c r="C39" s="42" t="s">
        <v>578</v>
      </c>
      <c r="D39" s="14" t="s">
        <v>43</v>
      </c>
      <c r="E39" s="36" t="s">
        <v>571</v>
      </c>
      <c r="F39" s="42" t="s">
        <v>589</v>
      </c>
      <c r="G39" s="42" t="s">
        <v>416</v>
      </c>
      <c r="H39" t="s">
        <v>579</v>
      </c>
    </row>
    <row r="40" spans="1:8" x14ac:dyDescent="0.25">
      <c r="A40" s="15" t="s">
        <v>296</v>
      </c>
      <c r="B40" s="42" t="s">
        <v>588</v>
      </c>
      <c r="C40" s="42" t="s">
        <v>580</v>
      </c>
      <c r="D40" s="2" t="s">
        <v>12</v>
      </c>
      <c r="E40" s="36" t="s">
        <v>571</v>
      </c>
      <c r="F40" s="42" t="s">
        <v>589</v>
      </c>
      <c r="G40" s="42" t="s">
        <v>416</v>
      </c>
      <c r="H40" t="s">
        <v>579</v>
      </c>
    </row>
    <row r="41" spans="1:8" x14ac:dyDescent="0.25">
      <c r="A41" s="15" t="s">
        <v>297</v>
      </c>
      <c r="B41" s="42" t="s">
        <v>588</v>
      </c>
      <c r="C41" s="42" t="s">
        <v>581</v>
      </c>
      <c r="D41" s="2" t="s">
        <v>12</v>
      </c>
      <c r="E41" s="36" t="s">
        <v>571</v>
      </c>
      <c r="F41" s="42" t="s">
        <v>589</v>
      </c>
      <c r="G41" s="42" t="s">
        <v>416</v>
      </c>
      <c r="H41" t="s">
        <v>572</v>
      </c>
    </row>
    <row r="42" spans="1:8" x14ac:dyDescent="0.25">
      <c r="A42" s="15" t="s">
        <v>298</v>
      </c>
      <c r="B42" s="42" t="s">
        <v>590</v>
      </c>
      <c r="C42" s="42" t="s">
        <v>570</v>
      </c>
      <c r="D42" s="2" t="s">
        <v>12</v>
      </c>
      <c r="E42" s="36" t="s">
        <v>591</v>
      </c>
      <c r="F42" s="42">
        <v>5</v>
      </c>
      <c r="G42" s="42" t="s">
        <v>328</v>
      </c>
      <c r="H42" t="s">
        <v>572</v>
      </c>
    </row>
    <row r="43" spans="1:8" x14ac:dyDescent="0.25">
      <c r="A43" s="15" t="s">
        <v>299</v>
      </c>
      <c r="B43" s="42" t="s">
        <v>590</v>
      </c>
      <c r="C43" s="42" t="s">
        <v>573</v>
      </c>
      <c r="D43" s="3" t="s">
        <v>25</v>
      </c>
      <c r="E43" s="36" t="s">
        <v>591</v>
      </c>
      <c r="F43" s="42">
        <v>5</v>
      </c>
      <c r="G43" s="42" t="s">
        <v>328</v>
      </c>
      <c r="H43" t="s">
        <v>572</v>
      </c>
    </row>
    <row r="44" spans="1:8" x14ac:dyDescent="0.25">
      <c r="A44" s="15" t="s">
        <v>300</v>
      </c>
      <c r="B44" s="42" t="s">
        <v>590</v>
      </c>
      <c r="C44" s="42" t="s">
        <v>574</v>
      </c>
      <c r="D44" s="6" t="s">
        <v>48</v>
      </c>
      <c r="E44" s="36" t="s">
        <v>591</v>
      </c>
      <c r="F44" s="42">
        <v>5</v>
      </c>
      <c r="G44" s="42" t="s">
        <v>328</v>
      </c>
      <c r="H44" t="s">
        <v>575</v>
      </c>
    </row>
    <row r="45" spans="1:8" x14ac:dyDescent="0.25">
      <c r="A45" s="15" t="s">
        <v>301</v>
      </c>
      <c r="B45" s="42" t="s">
        <v>590</v>
      </c>
      <c r="C45" s="42" t="s">
        <v>576</v>
      </c>
      <c r="D45" s="14" t="s">
        <v>43</v>
      </c>
      <c r="E45" s="36" t="s">
        <v>591</v>
      </c>
      <c r="F45" s="42">
        <v>5</v>
      </c>
      <c r="G45" s="42" t="s">
        <v>328</v>
      </c>
      <c r="H45" t="s">
        <v>575</v>
      </c>
    </row>
    <row r="46" spans="1:8" x14ac:dyDescent="0.25">
      <c r="A46" s="15" t="s">
        <v>302</v>
      </c>
      <c r="B46" s="42" t="s">
        <v>590</v>
      </c>
      <c r="C46" s="42" t="s">
        <v>577</v>
      </c>
      <c r="D46" s="12" t="s">
        <v>38</v>
      </c>
      <c r="E46" s="36" t="s">
        <v>591</v>
      </c>
      <c r="F46" s="42">
        <v>5</v>
      </c>
      <c r="G46" s="42" t="s">
        <v>328</v>
      </c>
      <c r="H46" t="s">
        <v>572</v>
      </c>
    </row>
    <row r="47" spans="1:8" x14ac:dyDescent="0.25">
      <c r="A47" s="15" t="s">
        <v>303</v>
      </c>
      <c r="B47" s="42" t="s">
        <v>590</v>
      </c>
      <c r="C47" s="42" t="s">
        <v>578</v>
      </c>
      <c r="D47" s="14" t="s">
        <v>43</v>
      </c>
      <c r="E47" s="36" t="s">
        <v>591</v>
      </c>
      <c r="F47" s="42">
        <v>5</v>
      </c>
      <c r="G47" s="42" t="s">
        <v>328</v>
      </c>
      <c r="H47" t="s">
        <v>579</v>
      </c>
    </row>
    <row r="48" spans="1:8" x14ac:dyDescent="0.25">
      <c r="A48" s="15" t="s">
        <v>304</v>
      </c>
      <c r="B48" s="42" t="s">
        <v>590</v>
      </c>
      <c r="C48" s="42" t="s">
        <v>580</v>
      </c>
      <c r="D48" s="2" t="s">
        <v>12</v>
      </c>
      <c r="E48" s="36" t="s">
        <v>591</v>
      </c>
      <c r="F48" s="42">
        <v>5</v>
      </c>
      <c r="G48" s="42" t="s">
        <v>328</v>
      </c>
      <c r="H48" t="s">
        <v>579</v>
      </c>
    </row>
    <row r="49" spans="1:8" x14ac:dyDescent="0.25">
      <c r="A49" s="15" t="s">
        <v>305</v>
      </c>
      <c r="B49" s="42" t="s">
        <v>590</v>
      </c>
      <c r="C49" s="42" t="s">
        <v>581</v>
      </c>
      <c r="D49" s="2" t="s">
        <v>12</v>
      </c>
      <c r="E49" s="36" t="s">
        <v>591</v>
      </c>
      <c r="F49" s="42">
        <v>5</v>
      </c>
      <c r="G49" s="42" t="s">
        <v>328</v>
      </c>
      <c r="H49" t="s">
        <v>572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I8" sqref="I8"/>
    </sheetView>
  </sheetViews>
  <sheetFormatPr defaultRowHeight="15" x14ac:dyDescent="0.25"/>
  <cols>
    <col min="1" max="1" width="13.5703125" style="35" bestFit="1" customWidth="1"/>
    <col min="2" max="2" width="14.42578125" style="35" bestFit="1" customWidth="1"/>
    <col min="5" max="5" width="14.140625" style="35" bestFit="1" customWidth="1"/>
  </cols>
  <sheetData>
    <row r="1" spans="1:6" x14ac:dyDescent="0.25">
      <c r="A1" s="26" t="s">
        <v>0</v>
      </c>
      <c r="B1" s="26" t="s">
        <v>592</v>
      </c>
      <c r="C1" s="26" t="s">
        <v>593</v>
      </c>
      <c r="D1" s="26" t="s">
        <v>594</v>
      </c>
      <c r="E1" s="26" t="s">
        <v>595</v>
      </c>
      <c r="F1" s="26" t="s">
        <v>596</v>
      </c>
    </row>
    <row r="2" spans="1:6" x14ac:dyDescent="0.25">
      <c r="A2" t="s">
        <v>572</v>
      </c>
      <c r="B2" t="s">
        <v>331</v>
      </c>
      <c r="C2">
        <v>100</v>
      </c>
      <c r="D2">
        <v>500</v>
      </c>
      <c r="E2" s="42" t="s">
        <v>328</v>
      </c>
      <c r="F2" s="36">
        <v>100</v>
      </c>
    </row>
    <row r="3" spans="1:6" x14ac:dyDescent="0.25">
      <c r="A3" t="s">
        <v>572</v>
      </c>
      <c r="B3" t="s">
        <v>330</v>
      </c>
      <c r="C3" s="42">
        <v>15</v>
      </c>
      <c r="D3" s="42">
        <v>75</v>
      </c>
      <c r="E3" s="42" t="s">
        <v>328</v>
      </c>
      <c r="F3" s="36">
        <v>100</v>
      </c>
    </row>
    <row r="4" spans="1:6" x14ac:dyDescent="0.25">
      <c r="A4" t="s">
        <v>572</v>
      </c>
      <c r="B4" t="s">
        <v>332</v>
      </c>
      <c r="C4" s="42">
        <v>10</v>
      </c>
      <c r="D4" s="42">
        <v>50</v>
      </c>
      <c r="E4" s="42" t="s">
        <v>328</v>
      </c>
      <c r="F4" s="36">
        <v>100</v>
      </c>
    </row>
    <row r="5" spans="1:6" x14ac:dyDescent="0.25">
      <c r="A5" t="s">
        <v>572</v>
      </c>
      <c r="B5" t="s">
        <v>331</v>
      </c>
      <c r="C5" s="42">
        <v>2</v>
      </c>
      <c r="D5" s="42">
        <v>6</v>
      </c>
      <c r="E5" s="42" t="s">
        <v>416</v>
      </c>
      <c r="F5" s="36">
        <v>60</v>
      </c>
    </row>
    <row r="6" spans="1:6" x14ac:dyDescent="0.25">
      <c r="A6" t="s">
        <v>572</v>
      </c>
      <c r="B6" t="s">
        <v>330</v>
      </c>
      <c r="C6" s="42">
        <v>2</v>
      </c>
      <c r="D6" s="42">
        <v>6</v>
      </c>
      <c r="E6" s="42" t="s">
        <v>416</v>
      </c>
      <c r="F6" s="36">
        <v>60</v>
      </c>
    </row>
    <row r="7" spans="1:6" x14ac:dyDescent="0.25">
      <c r="A7" t="s">
        <v>572</v>
      </c>
      <c r="B7" t="s">
        <v>332</v>
      </c>
      <c r="C7" s="42">
        <v>2</v>
      </c>
      <c r="D7" s="42">
        <v>6</v>
      </c>
      <c r="E7" s="42" t="s">
        <v>416</v>
      </c>
      <c r="F7" s="36">
        <v>60</v>
      </c>
    </row>
    <row r="8" spans="1:6" x14ac:dyDescent="0.25">
      <c r="A8" t="s">
        <v>572</v>
      </c>
      <c r="B8" t="s">
        <v>597</v>
      </c>
      <c r="C8" s="42">
        <v>0.8</v>
      </c>
      <c r="D8" s="42">
        <v>2</v>
      </c>
      <c r="E8" s="42" t="s">
        <v>416</v>
      </c>
      <c r="F8" s="36">
        <v>75</v>
      </c>
    </row>
    <row r="9" spans="1:6" x14ac:dyDescent="0.25">
      <c r="A9" t="s">
        <v>572</v>
      </c>
      <c r="B9" t="s">
        <v>327</v>
      </c>
      <c r="C9" s="42">
        <v>2</v>
      </c>
      <c r="D9" s="42">
        <v>5</v>
      </c>
      <c r="E9" s="42" t="s">
        <v>416</v>
      </c>
      <c r="F9" s="36">
        <v>35</v>
      </c>
    </row>
    <row r="10" spans="1:6" x14ac:dyDescent="0.25">
      <c r="A10" t="s">
        <v>572</v>
      </c>
      <c r="B10" t="s">
        <v>422</v>
      </c>
      <c r="C10" s="42">
        <v>5</v>
      </c>
      <c r="D10" s="42">
        <v>12</v>
      </c>
      <c r="E10" s="42" t="s">
        <v>416</v>
      </c>
      <c r="F10" s="36">
        <v>30</v>
      </c>
    </row>
    <row r="11" spans="1:6" x14ac:dyDescent="0.25">
      <c r="A11" t="s">
        <v>572</v>
      </c>
      <c r="B11" t="s">
        <v>598</v>
      </c>
      <c r="C11" s="42">
        <v>8</v>
      </c>
      <c r="D11" s="42">
        <v>24</v>
      </c>
      <c r="E11" s="42" t="s">
        <v>328</v>
      </c>
      <c r="F11" s="36">
        <v>25</v>
      </c>
    </row>
    <row r="12" spans="1:6" x14ac:dyDescent="0.25">
      <c r="A12" t="s">
        <v>572</v>
      </c>
      <c r="B12" t="s">
        <v>418</v>
      </c>
      <c r="C12" s="42">
        <v>1</v>
      </c>
      <c r="D12" s="42">
        <v>4</v>
      </c>
      <c r="E12" s="42" t="s">
        <v>328</v>
      </c>
      <c r="F12" s="36">
        <v>25</v>
      </c>
    </row>
    <row r="13" spans="1:6" x14ac:dyDescent="0.25">
      <c r="A13" t="s">
        <v>572</v>
      </c>
      <c r="B13" t="s">
        <v>329</v>
      </c>
      <c r="C13" s="42">
        <v>2</v>
      </c>
      <c r="D13" s="42">
        <v>5</v>
      </c>
      <c r="E13" s="42" t="s">
        <v>416</v>
      </c>
      <c r="F13" s="36">
        <v>20</v>
      </c>
    </row>
    <row r="14" spans="1:6" x14ac:dyDescent="0.25">
      <c r="A14" t="s">
        <v>575</v>
      </c>
      <c r="B14" t="s">
        <v>331</v>
      </c>
      <c r="C14" s="42">
        <v>200</v>
      </c>
      <c r="D14" s="42">
        <v>800</v>
      </c>
      <c r="E14" s="42" t="s">
        <v>328</v>
      </c>
      <c r="F14" s="36">
        <v>100</v>
      </c>
    </row>
    <row r="15" spans="1:6" x14ac:dyDescent="0.25">
      <c r="A15" t="s">
        <v>575</v>
      </c>
      <c r="B15" t="s">
        <v>332</v>
      </c>
      <c r="C15" s="42">
        <v>20</v>
      </c>
      <c r="D15" s="42">
        <v>80</v>
      </c>
      <c r="E15" s="42" t="s">
        <v>328</v>
      </c>
      <c r="F15" s="36">
        <v>100</v>
      </c>
    </row>
    <row r="16" spans="1:6" x14ac:dyDescent="0.25">
      <c r="A16" t="s">
        <v>575</v>
      </c>
      <c r="B16" t="s">
        <v>331</v>
      </c>
      <c r="C16" s="42">
        <v>3</v>
      </c>
      <c r="D16" s="42">
        <v>8</v>
      </c>
      <c r="E16" s="42" t="s">
        <v>416</v>
      </c>
      <c r="F16" s="36">
        <v>70</v>
      </c>
    </row>
    <row r="17" spans="1:6" x14ac:dyDescent="0.25">
      <c r="A17" t="s">
        <v>575</v>
      </c>
      <c r="B17" t="s">
        <v>332</v>
      </c>
      <c r="C17" s="42">
        <v>3</v>
      </c>
      <c r="D17" s="42">
        <v>8</v>
      </c>
      <c r="E17" s="42" t="s">
        <v>416</v>
      </c>
      <c r="F17" s="36">
        <v>70</v>
      </c>
    </row>
    <row r="18" spans="1:6" x14ac:dyDescent="0.25">
      <c r="A18" t="s">
        <v>575</v>
      </c>
      <c r="B18" t="s">
        <v>329</v>
      </c>
      <c r="C18" s="42">
        <v>2</v>
      </c>
      <c r="D18" s="42">
        <v>5</v>
      </c>
      <c r="E18" s="42" t="s">
        <v>416</v>
      </c>
      <c r="F18" s="36">
        <v>40</v>
      </c>
    </row>
    <row r="19" spans="1:6" x14ac:dyDescent="0.25">
      <c r="A19" t="s">
        <v>575</v>
      </c>
      <c r="B19" t="s">
        <v>418</v>
      </c>
      <c r="C19" s="42">
        <v>1</v>
      </c>
      <c r="D19" s="42">
        <v>3</v>
      </c>
      <c r="E19" s="42" t="s">
        <v>328</v>
      </c>
      <c r="F19" s="36">
        <v>20</v>
      </c>
    </row>
    <row r="20" spans="1:6" x14ac:dyDescent="0.25">
      <c r="A20" t="s">
        <v>579</v>
      </c>
      <c r="B20" t="s">
        <v>330</v>
      </c>
      <c r="C20" s="42">
        <v>25</v>
      </c>
      <c r="D20" s="42">
        <v>100</v>
      </c>
      <c r="E20" s="42" t="s">
        <v>328</v>
      </c>
      <c r="F20" s="36">
        <v>100</v>
      </c>
    </row>
    <row r="21" spans="1:6" x14ac:dyDescent="0.25">
      <c r="A21" t="s">
        <v>579</v>
      </c>
      <c r="B21" t="s">
        <v>330</v>
      </c>
      <c r="C21" s="42">
        <v>3</v>
      </c>
      <c r="D21" s="42">
        <v>7</v>
      </c>
      <c r="E21" s="42" t="s">
        <v>416</v>
      </c>
      <c r="F21" s="36">
        <v>80</v>
      </c>
    </row>
    <row r="22" spans="1:6" x14ac:dyDescent="0.25">
      <c r="A22" t="s">
        <v>579</v>
      </c>
      <c r="B22" t="s">
        <v>598</v>
      </c>
      <c r="C22" s="42">
        <v>15</v>
      </c>
      <c r="D22" s="42">
        <v>40</v>
      </c>
      <c r="E22" s="42" t="s">
        <v>328</v>
      </c>
      <c r="F22" s="36">
        <v>75</v>
      </c>
    </row>
    <row r="23" spans="1:6" x14ac:dyDescent="0.25">
      <c r="A23" t="s">
        <v>579</v>
      </c>
      <c r="B23" t="s">
        <v>597</v>
      </c>
      <c r="C23" s="42">
        <v>1</v>
      </c>
      <c r="D23" s="42">
        <v>2.5</v>
      </c>
      <c r="E23" s="42" t="s">
        <v>416</v>
      </c>
      <c r="F23" s="36">
        <v>40</v>
      </c>
    </row>
    <row r="24" spans="1:6" x14ac:dyDescent="0.25">
      <c r="A24" t="s">
        <v>579</v>
      </c>
      <c r="B24" t="s">
        <v>327</v>
      </c>
      <c r="C24" s="42">
        <v>3</v>
      </c>
      <c r="D24" s="42">
        <v>7</v>
      </c>
      <c r="E24" s="42" t="s">
        <v>416</v>
      </c>
      <c r="F24" s="36">
        <v>50</v>
      </c>
    </row>
    <row r="25" spans="1:6" x14ac:dyDescent="0.25">
      <c r="A25" t="s">
        <v>579</v>
      </c>
      <c r="B25" t="s">
        <v>422</v>
      </c>
      <c r="C25" s="42">
        <v>8</v>
      </c>
      <c r="D25" s="42">
        <v>18</v>
      </c>
      <c r="E25" s="42" t="s">
        <v>416</v>
      </c>
      <c r="F25" s="36">
        <v>45</v>
      </c>
    </row>
    <row r="26" spans="1:6" x14ac:dyDescent="0.25">
      <c r="A26" t="s">
        <v>579</v>
      </c>
      <c r="B26" t="s">
        <v>418</v>
      </c>
      <c r="C26" s="42">
        <v>2</v>
      </c>
      <c r="D26" s="42">
        <v>5</v>
      </c>
      <c r="E26" s="42" t="s">
        <v>328</v>
      </c>
      <c r="F26" s="36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7" sqref="F7"/>
    </sheetView>
  </sheetViews>
  <sheetFormatPr defaultRowHeight="15" x14ac:dyDescent="0.25"/>
  <cols>
    <col min="1" max="1" width="8.5703125" style="35" bestFit="1" customWidth="1"/>
    <col min="2" max="2" width="15" style="35" bestFit="1" customWidth="1"/>
    <col min="3" max="3" width="16" style="35" bestFit="1" customWidth="1"/>
    <col min="4" max="4" width="16.28515625" style="35" bestFit="1" customWidth="1"/>
    <col min="5" max="5" width="12.5703125" style="35" bestFit="1" customWidth="1"/>
    <col min="6" max="6" width="14.140625" style="35" bestFit="1" customWidth="1"/>
  </cols>
  <sheetData>
    <row r="1" spans="1:6" x14ac:dyDescent="0.25">
      <c r="A1" t="s">
        <v>0</v>
      </c>
      <c r="B1" t="s">
        <v>1</v>
      </c>
      <c r="C1" t="s">
        <v>599</v>
      </c>
      <c r="D1" t="s">
        <v>600</v>
      </c>
      <c r="E1" t="s">
        <v>601</v>
      </c>
      <c r="F1" t="s">
        <v>595</v>
      </c>
    </row>
    <row r="2" spans="1:6" x14ac:dyDescent="0.25">
      <c r="A2" t="s">
        <v>570</v>
      </c>
      <c r="B2" t="s">
        <v>250</v>
      </c>
      <c r="C2">
        <v>6</v>
      </c>
      <c r="D2" t="s">
        <v>602</v>
      </c>
      <c r="E2" t="s">
        <v>603</v>
      </c>
      <c r="F2" t="s">
        <v>604</v>
      </c>
    </row>
    <row r="3" spans="1:6" x14ac:dyDescent="0.25">
      <c r="A3" t="s">
        <v>573</v>
      </c>
      <c r="B3" t="s">
        <v>253</v>
      </c>
      <c r="C3">
        <v>6</v>
      </c>
      <c r="D3" t="s">
        <v>605</v>
      </c>
      <c r="E3" t="s">
        <v>606</v>
      </c>
      <c r="F3" t="s">
        <v>604</v>
      </c>
    </row>
    <row r="4" spans="1:6" x14ac:dyDescent="0.25">
      <c r="A4" t="s">
        <v>574</v>
      </c>
      <c r="B4" t="s">
        <v>255</v>
      </c>
      <c r="C4">
        <v>6</v>
      </c>
      <c r="D4" t="s">
        <v>571</v>
      </c>
      <c r="E4" t="s">
        <v>607</v>
      </c>
      <c r="F4" t="s">
        <v>416</v>
      </c>
    </row>
    <row r="5" spans="1:6" x14ac:dyDescent="0.25">
      <c r="A5" t="s">
        <v>576</v>
      </c>
      <c r="B5" t="s">
        <v>257</v>
      </c>
      <c r="C5">
        <v>6</v>
      </c>
      <c r="D5" t="s">
        <v>608</v>
      </c>
      <c r="E5" t="s">
        <v>606</v>
      </c>
      <c r="F5" t="s">
        <v>604</v>
      </c>
    </row>
    <row r="6" spans="1:6" x14ac:dyDescent="0.25">
      <c r="A6" t="s">
        <v>577</v>
      </c>
      <c r="B6" t="s">
        <v>259</v>
      </c>
      <c r="C6">
        <v>6</v>
      </c>
      <c r="D6" t="s">
        <v>609</v>
      </c>
      <c r="E6" t="s">
        <v>610</v>
      </c>
      <c r="F6" t="s">
        <v>604</v>
      </c>
    </row>
    <row r="7" spans="1:6" x14ac:dyDescent="0.25">
      <c r="A7" t="s">
        <v>578</v>
      </c>
      <c r="B7" t="s">
        <v>261</v>
      </c>
      <c r="C7">
        <v>6</v>
      </c>
      <c r="D7" t="s">
        <v>602</v>
      </c>
      <c r="E7" t="s">
        <v>611</v>
      </c>
      <c r="F7" t="s">
        <v>604</v>
      </c>
    </row>
    <row r="8" spans="1:6" x14ac:dyDescent="0.25">
      <c r="A8" t="s">
        <v>580</v>
      </c>
      <c r="B8" t="s">
        <v>263</v>
      </c>
      <c r="C8">
        <v>6</v>
      </c>
      <c r="D8" t="s">
        <v>612</v>
      </c>
      <c r="E8" t="s">
        <v>613</v>
      </c>
      <c r="F8" t="s">
        <v>604</v>
      </c>
    </row>
    <row r="9" spans="1:6" x14ac:dyDescent="0.25">
      <c r="A9" t="s">
        <v>581</v>
      </c>
      <c r="B9" t="s">
        <v>265</v>
      </c>
      <c r="C9">
        <v>6</v>
      </c>
      <c r="D9" t="s">
        <v>614</v>
      </c>
      <c r="E9" t="s">
        <v>615</v>
      </c>
      <c r="F9" t="s">
        <v>604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topLeftCell="A14" zoomScale="130" zoomScaleNormal="130" workbookViewId="0">
      <selection activeCell="C23" sqref="C23"/>
    </sheetView>
  </sheetViews>
  <sheetFormatPr defaultRowHeight="15" x14ac:dyDescent="0.25"/>
  <cols>
    <col min="1" max="1" width="23.28515625" style="35" customWidth="1"/>
    <col min="2" max="2" width="31.28515625" style="35" bestFit="1" customWidth="1"/>
    <col min="4" max="5" width="8.42578125" style="35" bestFit="1" customWidth="1"/>
    <col min="6" max="6" width="21.7109375" style="35" bestFit="1" customWidth="1"/>
    <col min="7" max="7" width="22.28515625" style="35" bestFit="1" customWidth="1"/>
    <col min="8" max="8" width="18.5703125" style="35" customWidth="1"/>
    <col min="9" max="9" width="16" style="35" customWidth="1"/>
  </cols>
  <sheetData>
    <row r="1" spans="1:8" x14ac:dyDescent="0.25">
      <c r="A1" s="16" t="s">
        <v>0</v>
      </c>
      <c r="B1" s="16" t="s">
        <v>1</v>
      </c>
      <c r="C1" s="16" t="s">
        <v>25</v>
      </c>
      <c r="D1" s="16" t="s">
        <v>334</v>
      </c>
      <c r="E1" s="16" t="s">
        <v>616</v>
      </c>
      <c r="F1" s="16" t="s">
        <v>617</v>
      </c>
      <c r="G1" s="16" t="s">
        <v>618</v>
      </c>
      <c r="H1" s="16" t="s">
        <v>619</v>
      </c>
    </row>
    <row r="2" spans="1:8" x14ac:dyDescent="0.25">
      <c r="A2" t="s">
        <v>215</v>
      </c>
      <c r="B2" t="s">
        <v>216</v>
      </c>
      <c r="C2" s="2" t="s">
        <v>620</v>
      </c>
      <c r="D2" s="8" t="s">
        <v>338</v>
      </c>
      <c r="E2" s="26" t="s">
        <v>621</v>
      </c>
      <c r="F2" s="42" t="s">
        <v>622</v>
      </c>
      <c r="G2" s="42" t="s">
        <v>623</v>
      </c>
      <c r="H2" s="42" t="s">
        <v>624</v>
      </c>
    </row>
    <row r="3" spans="1:8" x14ac:dyDescent="0.25">
      <c r="A3" t="s">
        <v>219</v>
      </c>
      <c r="B3" t="s">
        <v>220</v>
      </c>
      <c r="C3" s="17" t="s">
        <v>625</v>
      </c>
      <c r="D3" s="7" t="s">
        <v>347</v>
      </c>
      <c r="E3" s="26" t="s">
        <v>621</v>
      </c>
      <c r="F3" s="42" t="s">
        <v>626</v>
      </c>
      <c r="G3" s="42" t="s">
        <v>627</v>
      </c>
      <c r="H3" s="42" t="s">
        <v>628</v>
      </c>
    </row>
    <row r="4" spans="1:8" x14ac:dyDescent="0.25">
      <c r="A4" t="s">
        <v>221</v>
      </c>
      <c r="B4" t="s">
        <v>222</v>
      </c>
      <c r="C4" s="3" t="s">
        <v>629</v>
      </c>
      <c r="D4" s="39" t="s">
        <v>345</v>
      </c>
      <c r="E4" s="26" t="s">
        <v>621</v>
      </c>
      <c r="F4" s="42" t="s">
        <v>630</v>
      </c>
      <c r="G4" s="42" t="s">
        <v>631</v>
      </c>
      <c r="H4" s="42" t="s">
        <v>632</v>
      </c>
    </row>
    <row r="5" spans="1:8" x14ac:dyDescent="0.25">
      <c r="A5" t="s">
        <v>223</v>
      </c>
      <c r="B5" t="s">
        <v>224</v>
      </c>
      <c r="C5" s="3" t="s">
        <v>629</v>
      </c>
      <c r="D5" s="39" t="s">
        <v>345</v>
      </c>
      <c r="E5" s="26" t="s">
        <v>621</v>
      </c>
      <c r="F5" s="42" t="s">
        <v>633</v>
      </c>
      <c r="G5" s="42" t="s">
        <v>634</v>
      </c>
      <c r="H5" s="42" t="s">
        <v>635</v>
      </c>
    </row>
    <row r="6" spans="1:8" x14ac:dyDescent="0.25">
      <c r="A6" s="23" t="s">
        <v>225</v>
      </c>
      <c r="B6" s="23" t="s">
        <v>226</v>
      </c>
      <c r="C6" s="24" t="s">
        <v>629</v>
      </c>
      <c r="D6" s="32" t="s">
        <v>343</v>
      </c>
      <c r="E6" s="26" t="s">
        <v>621</v>
      </c>
      <c r="F6" s="42" t="s">
        <v>636</v>
      </c>
      <c r="G6" s="42" t="s">
        <v>637</v>
      </c>
      <c r="H6" s="42" t="s">
        <v>638</v>
      </c>
    </row>
    <row r="7" spans="1:8" x14ac:dyDescent="0.25">
      <c r="A7" t="s">
        <v>227</v>
      </c>
      <c r="B7" t="s">
        <v>228</v>
      </c>
      <c r="C7" s="14" t="s">
        <v>639</v>
      </c>
      <c r="D7" s="25" t="s">
        <v>341</v>
      </c>
      <c r="E7" s="26" t="s">
        <v>621</v>
      </c>
      <c r="F7" s="42" t="s">
        <v>640</v>
      </c>
      <c r="G7" s="42" t="s">
        <v>641</v>
      </c>
      <c r="H7" s="42" t="s">
        <v>642</v>
      </c>
    </row>
    <row r="8" spans="1:8" x14ac:dyDescent="0.25">
      <c r="A8" t="s">
        <v>229</v>
      </c>
      <c r="B8" t="s">
        <v>230</v>
      </c>
      <c r="C8" s="17" t="s">
        <v>625</v>
      </c>
      <c r="D8" s="7" t="s">
        <v>351</v>
      </c>
      <c r="E8" s="26" t="s">
        <v>621</v>
      </c>
      <c r="F8" s="42" t="s">
        <v>643</v>
      </c>
      <c r="G8" s="42" t="s">
        <v>644</v>
      </c>
      <c r="H8" s="42" t="s">
        <v>645</v>
      </c>
    </row>
    <row r="9" spans="1:8" x14ac:dyDescent="0.25">
      <c r="A9" t="s">
        <v>231</v>
      </c>
      <c r="B9" t="s">
        <v>232</v>
      </c>
      <c r="C9" s="14" t="s">
        <v>639</v>
      </c>
      <c r="D9" s="39" t="s">
        <v>345</v>
      </c>
      <c r="E9" s="26" t="s">
        <v>621</v>
      </c>
      <c r="F9" s="42" t="s">
        <v>646</v>
      </c>
      <c r="G9" s="42" t="s">
        <v>647</v>
      </c>
      <c r="H9" s="42" t="s">
        <v>648</v>
      </c>
    </row>
    <row r="10" spans="1:8" x14ac:dyDescent="0.25">
      <c r="A10" t="s">
        <v>233</v>
      </c>
      <c r="B10" t="s">
        <v>234</v>
      </c>
      <c r="C10" s="2" t="s">
        <v>620</v>
      </c>
      <c r="D10" s="8" t="s">
        <v>338</v>
      </c>
      <c r="E10" s="26" t="s">
        <v>621</v>
      </c>
      <c r="F10" s="42" t="s">
        <v>649</v>
      </c>
      <c r="G10" s="42" t="s">
        <v>650</v>
      </c>
      <c r="H10" s="42" t="s">
        <v>651</v>
      </c>
    </row>
    <row r="11" spans="1:8" x14ac:dyDescent="0.25">
      <c r="A11" s="23" t="s">
        <v>652</v>
      </c>
      <c r="B11" s="23" t="s">
        <v>653</v>
      </c>
      <c r="C11" s="24" t="s">
        <v>620</v>
      </c>
      <c r="D11" s="25" t="s">
        <v>347</v>
      </c>
      <c r="E11" s="26" t="s">
        <v>621</v>
      </c>
      <c r="F11" s="42" t="s">
        <v>654</v>
      </c>
      <c r="G11" s="42" t="s">
        <v>655</v>
      </c>
      <c r="H11" s="42" t="s">
        <v>656</v>
      </c>
    </row>
    <row r="12" spans="1:8" x14ac:dyDescent="0.25">
      <c r="A12" s="11" t="s">
        <v>657</v>
      </c>
      <c r="B12" t="s">
        <v>238</v>
      </c>
      <c r="C12" s="17" t="s">
        <v>625</v>
      </c>
      <c r="D12" s="8" t="s">
        <v>338</v>
      </c>
      <c r="E12" s="7" t="s">
        <v>658</v>
      </c>
      <c r="F12" s="42" t="s">
        <v>659</v>
      </c>
      <c r="G12" s="42" t="s">
        <v>660</v>
      </c>
      <c r="H12" s="42" t="s">
        <v>660</v>
      </c>
    </row>
    <row r="13" spans="1:8" x14ac:dyDescent="0.25">
      <c r="A13" s="22" t="s">
        <v>239</v>
      </c>
      <c r="B13" t="s">
        <v>240</v>
      </c>
      <c r="C13" s="2" t="s">
        <v>620</v>
      </c>
      <c r="D13" s="25" t="s">
        <v>341</v>
      </c>
      <c r="E13" s="7" t="s">
        <v>658</v>
      </c>
      <c r="F13" s="42" t="s">
        <v>661</v>
      </c>
      <c r="G13" s="42" t="s">
        <v>662</v>
      </c>
      <c r="H13" s="42" t="s">
        <v>663</v>
      </c>
    </row>
    <row r="14" spans="1:8" x14ac:dyDescent="0.25">
      <c r="A14" s="22" t="s">
        <v>241</v>
      </c>
      <c r="B14" t="s">
        <v>242</v>
      </c>
      <c r="C14" s="14" t="s">
        <v>639</v>
      </c>
      <c r="D14" s="25" t="s">
        <v>341</v>
      </c>
      <c r="E14" s="7" t="s">
        <v>658</v>
      </c>
      <c r="F14" s="42" t="s">
        <v>664</v>
      </c>
      <c r="G14" s="42" t="s">
        <v>665</v>
      </c>
      <c r="H14" s="42" t="s">
        <v>666</v>
      </c>
    </row>
    <row r="15" spans="1:8" x14ac:dyDescent="0.25">
      <c r="A15" s="22" t="s">
        <v>243</v>
      </c>
      <c r="B15" t="s">
        <v>244</v>
      </c>
      <c r="C15" s="14" t="s">
        <v>639</v>
      </c>
      <c r="D15" s="25" t="s">
        <v>341</v>
      </c>
      <c r="E15" s="7" t="s">
        <v>658</v>
      </c>
      <c r="F15" s="42" t="s">
        <v>667</v>
      </c>
      <c r="G15" s="42" t="s">
        <v>668</v>
      </c>
      <c r="H15" s="42" t="s">
        <v>669</v>
      </c>
    </row>
    <row r="16" spans="1:8" x14ac:dyDescent="0.25">
      <c r="A16" s="22" t="s">
        <v>245</v>
      </c>
      <c r="B16" t="s">
        <v>246</v>
      </c>
      <c r="C16" s="2" t="s">
        <v>620</v>
      </c>
      <c r="D16" s="8" t="s">
        <v>338</v>
      </c>
      <c r="E16" s="7" t="s">
        <v>658</v>
      </c>
      <c r="F16" s="42" t="s">
        <v>670</v>
      </c>
      <c r="G16" s="42" t="s">
        <v>671</v>
      </c>
      <c r="H16" s="42" t="s">
        <v>672</v>
      </c>
    </row>
    <row r="17" spans="1:8" x14ac:dyDescent="0.25">
      <c r="A17" s="22" t="s">
        <v>247</v>
      </c>
      <c r="B17" t="s">
        <v>248</v>
      </c>
      <c r="C17" s="14" t="s">
        <v>639</v>
      </c>
      <c r="D17" s="8" t="s">
        <v>338</v>
      </c>
      <c r="E17" s="7" t="s">
        <v>658</v>
      </c>
      <c r="F17" s="42" t="s">
        <v>673</v>
      </c>
      <c r="G17" s="42" t="s">
        <v>674</v>
      </c>
      <c r="H17" s="42" t="s">
        <v>675</v>
      </c>
    </row>
    <row r="18" spans="1:8" x14ac:dyDescent="0.25">
      <c r="A18" s="11" t="s">
        <v>676</v>
      </c>
      <c r="B18" t="s">
        <v>677</v>
      </c>
      <c r="C18" s="17" t="s">
        <v>625</v>
      </c>
      <c r="D18" s="8" t="s">
        <v>338</v>
      </c>
      <c r="E18" s="42" t="s">
        <v>678</v>
      </c>
      <c r="F18" s="42" t="s">
        <v>679</v>
      </c>
      <c r="G18" s="42" t="s">
        <v>660</v>
      </c>
      <c r="H18" s="42" t="s">
        <v>660</v>
      </c>
    </row>
    <row r="19" spans="1:8" x14ac:dyDescent="0.25">
      <c r="A19" s="11" t="s">
        <v>680</v>
      </c>
      <c r="B19" t="s">
        <v>681</v>
      </c>
      <c r="C19" s="17" t="s">
        <v>625</v>
      </c>
      <c r="D19" s="8" t="s">
        <v>338</v>
      </c>
      <c r="E19" s="42" t="s">
        <v>678</v>
      </c>
      <c r="F19" s="42" t="s">
        <v>682</v>
      </c>
      <c r="G19" s="42" t="s">
        <v>660</v>
      </c>
      <c r="H19" s="42" t="s">
        <v>660</v>
      </c>
    </row>
    <row r="20" spans="1:8" x14ac:dyDescent="0.25">
      <c r="A20" s="11" t="s">
        <v>683</v>
      </c>
      <c r="B20" t="s">
        <v>684</v>
      </c>
      <c r="C20" s="17" t="s">
        <v>625</v>
      </c>
      <c r="D20" s="8" t="s">
        <v>338</v>
      </c>
      <c r="E20" s="42" t="s">
        <v>678</v>
      </c>
      <c r="F20" s="42" t="s">
        <v>685</v>
      </c>
      <c r="G20" s="42" t="s">
        <v>660</v>
      </c>
      <c r="H20" s="42" t="s">
        <v>660</v>
      </c>
    </row>
    <row r="21" spans="1:8" x14ac:dyDescent="0.25">
      <c r="A21" s="11" t="s">
        <v>686</v>
      </c>
      <c r="B21" t="s">
        <v>687</v>
      </c>
      <c r="C21" s="17" t="s">
        <v>625</v>
      </c>
      <c r="D21" s="8" t="s">
        <v>338</v>
      </c>
      <c r="E21" s="42" t="s">
        <v>678</v>
      </c>
      <c r="F21" s="42" t="s">
        <v>688</v>
      </c>
      <c r="G21" s="42" t="s">
        <v>660</v>
      </c>
      <c r="H21" s="42" t="s">
        <v>660</v>
      </c>
    </row>
    <row r="22" spans="1:8" x14ac:dyDescent="0.25">
      <c r="A22" s="11" t="s">
        <v>689</v>
      </c>
      <c r="B22" t="s">
        <v>690</v>
      </c>
      <c r="C22" s="17" t="s">
        <v>625</v>
      </c>
      <c r="D22" s="8" t="s">
        <v>338</v>
      </c>
      <c r="E22" s="42" t="s">
        <v>678</v>
      </c>
      <c r="F22" s="42" t="s">
        <v>691</v>
      </c>
      <c r="G22" s="42" t="s">
        <v>660</v>
      </c>
      <c r="H22" s="42" t="s">
        <v>660</v>
      </c>
    </row>
    <row r="23" spans="1:8" x14ac:dyDescent="0.25">
      <c r="A23" s="11" t="s">
        <v>692</v>
      </c>
      <c r="B23" t="s">
        <v>693</v>
      </c>
      <c r="C23" s="17" t="s">
        <v>625</v>
      </c>
      <c r="D23" s="8" t="s">
        <v>338</v>
      </c>
      <c r="E23" s="42" t="s">
        <v>678</v>
      </c>
      <c r="F23" s="42" t="s">
        <v>694</v>
      </c>
      <c r="G23" s="42" t="s">
        <v>660</v>
      </c>
      <c r="H23" s="42" t="s">
        <v>660</v>
      </c>
    </row>
    <row r="24" spans="1:8" x14ac:dyDescent="0.25">
      <c r="A24" s="11" t="s">
        <v>695</v>
      </c>
      <c r="B24" t="s">
        <v>696</v>
      </c>
      <c r="C24" s="17" t="s">
        <v>625</v>
      </c>
      <c r="D24" s="8" t="s">
        <v>338</v>
      </c>
      <c r="E24" s="42" t="s">
        <v>678</v>
      </c>
      <c r="F24" s="42" t="s">
        <v>697</v>
      </c>
      <c r="G24" s="42" t="s">
        <v>660</v>
      </c>
      <c r="H24" s="42" t="s">
        <v>660</v>
      </c>
    </row>
    <row r="25" spans="1:8" x14ac:dyDescent="0.25">
      <c r="A25" s="11" t="s">
        <v>698</v>
      </c>
      <c r="B25" t="s">
        <v>699</v>
      </c>
      <c r="C25" s="17" t="s">
        <v>625</v>
      </c>
      <c r="D25" s="8" t="s">
        <v>338</v>
      </c>
      <c r="E25" s="42" t="s">
        <v>678</v>
      </c>
      <c r="F25" s="42" t="s">
        <v>700</v>
      </c>
      <c r="G25" s="42" t="s">
        <v>660</v>
      </c>
      <c r="H25" s="42" t="s">
        <v>660</v>
      </c>
    </row>
    <row r="26" spans="1:8" x14ac:dyDescent="0.25">
      <c r="A26" t="s">
        <v>235</v>
      </c>
      <c r="B26" t="s">
        <v>236</v>
      </c>
      <c r="C26" s="14" t="s">
        <v>639</v>
      </c>
      <c r="D26" s="39" t="s">
        <v>345</v>
      </c>
      <c r="E26" s="26" t="s">
        <v>621</v>
      </c>
      <c r="F26" s="42" t="s">
        <v>701</v>
      </c>
      <c r="G26" s="42" t="s">
        <v>702</v>
      </c>
      <c r="H26" s="42" t="s">
        <v>703</v>
      </c>
    </row>
    <row r="27" spans="1:8" x14ac:dyDescent="0.25">
      <c r="A27" t="s">
        <v>704</v>
      </c>
      <c r="B27" t="s">
        <v>705</v>
      </c>
      <c r="C27" s="14" t="s">
        <v>639</v>
      </c>
      <c r="D27" s="39" t="s">
        <v>345</v>
      </c>
      <c r="E27" s="7" t="s">
        <v>658</v>
      </c>
      <c r="F27" s="42" t="s">
        <v>706</v>
      </c>
      <c r="G27" s="42" t="s">
        <v>707</v>
      </c>
      <c r="H27" s="42" t="s">
        <v>708</v>
      </c>
    </row>
    <row r="28" spans="1:8" x14ac:dyDescent="0.25">
      <c r="A28" t="s">
        <v>709</v>
      </c>
      <c r="B28" t="s">
        <v>228</v>
      </c>
      <c r="C28" s="14" t="s">
        <v>639</v>
      </c>
      <c r="D28" s="25" t="s">
        <v>341</v>
      </c>
      <c r="E28" s="7" t="s">
        <v>658</v>
      </c>
      <c r="F28" s="42" t="s">
        <v>640</v>
      </c>
      <c r="G28" s="42" t="s">
        <v>641</v>
      </c>
      <c r="H28" s="42" t="s">
        <v>642</v>
      </c>
    </row>
    <row r="29" spans="1:8" x14ac:dyDescent="0.25">
      <c r="A29" t="s">
        <v>710</v>
      </c>
      <c r="B29" t="s">
        <v>232</v>
      </c>
      <c r="C29" s="14" t="s">
        <v>639</v>
      </c>
      <c r="D29" s="39" t="s">
        <v>345</v>
      </c>
      <c r="E29" s="7" t="s">
        <v>658</v>
      </c>
      <c r="F29" s="42" t="s">
        <v>646</v>
      </c>
      <c r="G29" s="42" t="s">
        <v>647</v>
      </c>
      <c r="H29" s="42" t="s">
        <v>648</v>
      </c>
    </row>
    <row r="30" spans="1:8" x14ac:dyDescent="0.25">
      <c r="A30" t="s">
        <v>711</v>
      </c>
      <c r="B30" t="s">
        <v>234</v>
      </c>
      <c r="C30" s="2" t="s">
        <v>620</v>
      </c>
      <c r="D30" s="8" t="s">
        <v>338</v>
      </c>
      <c r="E30" s="7" t="s">
        <v>658</v>
      </c>
      <c r="F30" s="42" t="s">
        <v>649</v>
      </c>
      <c r="G30" s="42" t="s">
        <v>650</v>
      </c>
      <c r="H30" s="42" t="s">
        <v>651</v>
      </c>
    </row>
    <row r="31" spans="1:8" x14ac:dyDescent="0.25">
      <c r="A31" t="s">
        <v>712</v>
      </c>
      <c r="B31" t="s">
        <v>236</v>
      </c>
      <c r="C31" s="14" t="s">
        <v>639</v>
      </c>
      <c r="D31" s="39" t="s">
        <v>345</v>
      </c>
      <c r="E31" s="7" t="s">
        <v>658</v>
      </c>
      <c r="F31" s="42" t="s">
        <v>701</v>
      </c>
      <c r="G31" s="42" t="s">
        <v>702</v>
      </c>
      <c r="H31" s="42" t="s">
        <v>703</v>
      </c>
    </row>
    <row r="32" spans="1:8" x14ac:dyDescent="0.25">
      <c r="A32" t="s">
        <v>713</v>
      </c>
      <c r="B32" t="s">
        <v>714</v>
      </c>
      <c r="C32" s="2" t="s">
        <v>620</v>
      </c>
      <c r="D32" s="8" t="s">
        <v>338</v>
      </c>
      <c r="E32" s="7" t="s">
        <v>658</v>
      </c>
      <c r="F32" s="42" t="s">
        <v>715</v>
      </c>
      <c r="G32" s="42" t="s">
        <v>716</v>
      </c>
      <c r="H32" s="42" t="s">
        <v>717</v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14" zoomScale="115" zoomScaleNormal="115" workbookViewId="0">
      <selection activeCell="A18" sqref="A18"/>
    </sheetView>
  </sheetViews>
  <sheetFormatPr defaultRowHeight="15" x14ac:dyDescent="0.25"/>
  <cols>
    <col min="1" max="1" width="22.140625" style="35" bestFit="1" customWidth="1"/>
    <col min="12" max="12" width="12.28515625" style="35" bestFit="1" customWidth="1"/>
    <col min="13" max="13" width="11.5703125" style="35" bestFit="1" customWidth="1"/>
    <col min="14" max="14" width="12.42578125" style="35" bestFit="1" customWidth="1"/>
  </cols>
  <sheetData>
    <row r="1" spans="1:14" x14ac:dyDescent="0.25">
      <c r="A1" s="16" t="s">
        <v>0</v>
      </c>
      <c r="B1" s="16" t="s">
        <v>25</v>
      </c>
      <c r="C1" s="16" t="s">
        <v>334</v>
      </c>
      <c r="D1" s="16" t="s">
        <v>616</v>
      </c>
      <c r="E1" s="16" t="s">
        <v>718</v>
      </c>
      <c r="F1" s="16" t="s">
        <v>571</v>
      </c>
      <c r="G1" s="16" t="s">
        <v>585</v>
      </c>
      <c r="H1" s="16" t="s">
        <v>583</v>
      </c>
      <c r="I1" s="16" t="s">
        <v>587</v>
      </c>
      <c r="J1" s="16" t="s">
        <v>719</v>
      </c>
      <c r="K1" s="16" t="s">
        <v>720</v>
      </c>
      <c r="L1" s="16" t="s">
        <v>721</v>
      </c>
      <c r="M1" s="16" t="s">
        <v>722</v>
      </c>
      <c r="N1" s="16" t="s">
        <v>723</v>
      </c>
    </row>
    <row r="2" spans="1:14" x14ac:dyDescent="0.25">
      <c r="A2" t="s">
        <v>215</v>
      </c>
      <c r="B2" s="2" t="str">
        <f>Character!C2</f>
        <v>UR</v>
      </c>
      <c r="C2" s="8" t="str">
        <f>Character!D2</f>
        <v>Fighter</v>
      </c>
      <c r="D2" s="26" t="str">
        <f>Character!E2</f>
        <v>Character</v>
      </c>
      <c r="E2" s="42" t="s">
        <v>724</v>
      </c>
      <c r="F2" s="42">
        <f>ROUND(VLOOKUP(C2, Stat_Matrix!$E$2:$N$7, 2, FALSE) * VLOOKUP(B2, Stat_Matrix!$A$2:$B$5, 2, FALSE) * VLOOKUP(IF(ISBLANK(D2), "Character", D2), Stat_Matrix!$AA$2:$AD$4, 2, FALSE) * VLOOKUP(IF(ISBLANK(E2), "Balanced", E2), Stat_Matrix!$AG$2:$AP$6, 2, FALSE), 0)</f>
        <v>4441</v>
      </c>
      <c r="G2" s="42">
        <f>ROUND(VLOOKUP(C2, Stat_Matrix!$E$2:$N$7, 3, FALSE) * VLOOKUP(B2, Stat_Matrix!$A$2:$B$5, 2, FALSE) * VLOOKUP(IF(ISBLANK(D2), "Character", D2), Stat_Matrix!$AA$2:$AD$4, 3, FALSE) * VLOOKUP(IF(ISBLANK(E2), "Balanced", E2), Stat_Matrix!$AG$2:$AP$6, 3, FALSE), 0)</f>
        <v>3086</v>
      </c>
      <c r="H2" s="42">
        <f>ROUND(VLOOKUP(C2, Stat_Matrix!$E$2:$N$7, 4, FALSE) * VLOOKUP(B2, Stat_Matrix!$A$2:$B$5, 2, FALSE) * VLOOKUP(IF(ISBLANK(D2), "Character", D2), Stat_Matrix!$AA$2:$AD$4, 4, FALSE) * VLOOKUP(IF(ISBLANK(E2), "Balanced", E2), Stat_Matrix!$AG$2:$AP$6, 4, FALSE), 0)</f>
        <v>444</v>
      </c>
      <c r="I2" s="42">
        <f>VLOOKUP(C2, Stat_Matrix!$E$2:$N$7, 5, FALSE) + (VLOOKUP(B2, Stat_Matrix!$A$2:$C$5, 3, FALSE) * VLOOKUP(C2, Stat_Matrix!$P$2:$Y$7, 5, FALSE)) + VLOOKUP(IF(ISBLANK(E2), "Balanced", E2), Stat_Matrix!$AG$2:$AP$6, 5, FALSE)</f>
        <v>96</v>
      </c>
      <c r="J2" s="42">
        <f>VLOOKUP(C2, Stat_Matrix!$E$2:$N$7, 8, FALSE) + (VLOOKUP(B2, Stat_Matrix!$A$2:$C$5, 3, FALSE) * VLOOKUP(C2, Stat_Matrix!$P$2:$Y$7, 8, FALSE)) + VLOOKUP(IF(ISBLANK(E2), "Balanced", E2), Stat_Matrix!$AG$2:$AP$6, 8, FALSE)</f>
        <v>16</v>
      </c>
      <c r="K2" s="42">
        <f>VLOOKUP(C2, Stat_Matrix!$E$2:$N$7, 6, FALSE) + (VLOOKUP(B2, Stat_Matrix!$A$2:$C$5, 3, FALSE) * VLOOKUP(C2, Stat_Matrix!$P$2:$Y$7, 6, FALSE)) + VLOOKUP(IF(ISBLANK(E2), "Balanced", E2), Stat_Matrix!$AG$2:$AP$6, 6, FALSE)</f>
        <v>10</v>
      </c>
      <c r="L2" s="42">
        <f>VLOOKUP(C2, Stat_Matrix!$E$2:$N$7, 7, FALSE) + (VLOOKUP(B2, Stat_Matrix!$A$2:$C$5, 3, FALSE) * VLOOKUP(C2, Stat_Matrix!$P$2:$Y$7, 7, FALSE)) + VLOOKUP(IF(ISBLANK(E2), "Balanced", E2), Stat_Matrix!$AG$2:$AP$6, 7, FALSE)</f>
        <v>22</v>
      </c>
      <c r="M2">
        <f>VLOOKUP(C2, Stat_Matrix!$E$2:$N$7, 9, FALSE) + (VLOOKUP(B2, Stat_Matrix!$A$2:$C$5, 3, FALSE) * VLOOKUP(C2, Stat_Matrix!$P$2:$Y$7, 9, FALSE)) + VLOOKUP(IF(ISBLANK(E2), "Balanced", E2), Stat_Matrix!$AG$2:$AP$6, 9, FALSE)</f>
        <v>5</v>
      </c>
      <c r="N2">
        <f>VLOOKUP(C2, Stat_Matrix!$E$2:$N$7, 10, FALSE) + (VLOOKUP(B2, Stat_Matrix!$A$2:$C$5, 3, FALSE) * VLOOKUP(C2, Stat_Matrix!$P$2:$Y$7, 10, FALSE) + VLOOKUP(IF(ISBLANK(D2), "Character", D2), Stat_Matrix!$AA$2:$AE$4, 5, FALSE) + VLOOKUP(IF(ISBLANK(E2), "Balanced", E2), Stat_Matrix!$AG$2:$AP$6, 10, FALSE))</f>
        <v>0</v>
      </c>
    </row>
    <row r="3" spans="1:14" x14ac:dyDescent="0.25">
      <c r="A3" t="s">
        <v>219</v>
      </c>
      <c r="B3" s="17" t="str">
        <f>Character!C3</f>
        <v>R</v>
      </c>
      <c r="C3" s="7" t="str">
        <f>Character!D3</f>
        <v>Mage</v>
      </c>
      <c r="D3" s="26" t="str">
        <f>Character!E3</f>
        <v>Character</v>
      </c>
      <c r="E3" s="42" t="s">
        <v>725</v>
      </c>
      <c r="F3" s="42">
        <f>ROUND(VLOOKUP(C3, Stat_Matrix!$E$2:$N$7, 2, FALSE) * VLOOKUP(B3, Stat_Matrix!$A$2:$B$5, 2, FALSE) * VLOOKUP(IF(ISBLANK(D3), "Character", D3), Stat_Matrix!$AA$2:$AD$4, 2, FALSE) * VLOOKUP(IF(ISBLANK(E3), "Balanced", E3), Stat_Matrix!$AG$2:$AP$6, 2, FALSE), 0)</f>
        <v>2250</v>
      </c>
      <c r="G3" s="42">
        <f>ROUND(VLOOKUP(C3, Stat_Matrix!$E$2:$N$7, 3, FALSE) * VLOOKUP(B3, Stat_Matrix!$A$2:$B$5, 2, FALSE) * VLOOKUP(IF(ISBLANK(D3), "Character", D3), Stat_Matrix!$AA$2:$AD$4, 3, FALSE) * VLOOKUP(IF(ISBLANK(E3), "Balanced", E3), Stat_Matrix!$AG$2:$AP$6, 3, FALSE), 0)</f>
        <v>2100</v>
      </c>
      <c r="H3" s="42">
        <f>ROUND(VLOOKUP(C3, Stat_Matrix!$E$2:$N$7, 4, FALSE) * VLOOKUP(B3, Stat_Matrix!$A$2:$B$5, 2, FALSE) * VLOOKUP(IF(ISBLANK(D3), "Character", D3), Stat_Matrix!$AA$2:$AD$4, 4, FALSE) * VLOOKUP(IF(ISBLANK(E3), "Balanced", E3), Stat_Matrix!$AG$2:$AP$6, 4, FALSE), 0)</f>
        <v>210</v>
      </c>
      <c r="I3" s="42">
        <f>VLOOKUP(C3, Stat_Matrix!$E$2:$N$7, 5, FALSE) + (VLOOKUP(B3, Stat_Matrix!$A$2:$C$5, 3, FALSE) * VLOOKUP(C3, Stat_Matrix!$P$2:$Y$7, 5, FALSE)) + VLOOKUP(IF(ISBLANK(E3), "Balanced", E3), Stat_Matrix!$AG$2:$AP$6, 5, FALSE)</f>
        <v>95</v>
      </c>
      <c r="J3" s="42">
        <f>VLOOKUP(C3, Stat_Matrix!$E$2:$N$7, 8, FALSE) + (VLOOKUP(B3, Stat_Matrix!$A$2:$C$5, 3, FALSE) * VLOOKUP(C3, Stat_Matrix!$P$2:$Y$7, 8, FALSE)) + VLOOKUP(IF(ISBLANK(E3), "Balanced", E3), Stat_Matrix!$AG$2:$AP$6, 8, FALSE)</f>
        <v>0</v>
      </c>
      <c r="K3" s="42">
        <f>VLOOKUP(C3, Stat_Matrix!$E$2:$N$7, 6, FALSE) + (VLOOKUP(B3, Stat_Matrix!$A$2:$C$5, 3, FALSE) * VLOOKUP(C3, Stat_Matrix!$P$2:$Y$7, 6, FALSE)) + VLOOKUP(IF(ISBLANK(E3), "Balanced", E3), Stat_Matrix!$AG$2:$AP$6, 6, FALSE)</f>
        <v>5</v>
      </c>
      <c r="L3" s="42">
        <f>VLOOKUP(C3, Stat_Matrix!$E$2:$N$7, 7, FALSE) + (VLOOKUP(B3, Stat_Matrix!$A$2:$C$5, 3, FALSE) * VLOOKUP(C3, Stat_Matrix!$P$2:$Y$7, 7, FALSE)) + VLOOKUP(IF(ISBLANK(E3), "Balanced", E3), Stat_Matrix!$AG$2:$AP$6, 7, FALSE)</f>
        <v>10</v>
      </c>
      <c r="M3">
        <f>VLOOKUP(C3, Stat_Matrix!$E$2:$N$7, 9, FALSE) + (VLOOKUP(B3, Stat_Matrix!$A$2:$C$5, 3, FALSE) * VLOOKUP(C3, Stat_Matrix!$P$2:$Y$7, 9, FALSE)) + VLOOKUP(IF(ISBLANK(E3), "Balanced", E3), Stat_Matrix!$AG$2:$AP$6, 9, FALSE)</f>
        <v>5</v>
      </c>
      <c r="N3">
        <f>VLOOKUP(C3, Stat_Matrix!$E$2:$N$7, 10, FALSE) + (VLOOKUP(B3, Stat_Matrix!$A$2:$C$5, 3, FALSE) * VLOOKUP(C3, Stat_Matrix!$P$2:$Y$7, 10, FALSE) + VLOOKUP(IF(ISBLANK(D3), "Character", D3), Stat_Matrix!$AA$2:$AE$4, 5, FALSE) + VLOOKUP(IF(ISBLANK(E3), "Balanced", E3), Stat_Matrix!$AG$2:$AP$6, 10, FALSE))</f>
        <v>0</v>
      </c>
    </row>
    <row r="4" spans="1:14" x14ac:dyDescent="0.25">
      <c r="A4" t="s">
        <v>221</v>
      </c>
      <c r="B4" s="14" t="str">
        <f>Character!C4</f>
        <v>SR</v>
      </c>
      <c r="C4" s="39" t="str">
        <f>Character!D4</f>
        <v>Tanker</v>
      </c>
      <c r="D4" s="26" t="str">
        <f>Character!E4</f>
        <v>Character</v>
      </c>
      <c r="E4" s="42" t="s">
        <v>725</v>
      </c>
      <c r="F4" s="42">
        <f>ROUND(VLOOKUP(C4, Stat_Matrix!$E$2:$N$7, 2, FALSE) * VLOOKUP(B4, Stat_Matrix!$A$2:$B$5, 2, FALSE) * VLOOKUP(IF(ISBLANK(D4), "Character", D4), Stat_Matrix!$AA$2:$AD$4, 2, FALSE) * VLOOKUP(IF(ISBLANK(E4), "Balanced", E4), Stat_Matrix!$AG$2:$AP$6, 2, FALSE), 0)</f>
        <v>4800</v>
      </c>
      <c r="G4" s="42">
        <f>ROUND(VLOOKUP(C4, Stat_Matrix!$E$2:$N$7, 3, FALSE) * VLOOKUP(B4, Stat_Matrix!$A$2:$B$5, 2, FALSE) * VLOOKUP(IF(ISBLANK(D4), "Character", D4), Stat_Matrix!$AA$2:$AD$4, 3, FALSE) * VLOOKUP(IF(ISBLANK(E4), "Balanced", E4), Stat_Matrix!$AG$2:$AP$6, 3, FALSE), 0)</f>
        <v>1080</v>
      </c>
      <c r="H4" s="42">
        <f>ROUND(VLOOKUP(C4, Stat_Matrix!$E$2:$N$7, 4, FALSE) * VLOOKUP(B4, Stat_Matrix!$A$2:$B$5, 2, FALSE) * VLOOKUP(IF(ISBLANK(D4), "Character", D4), Stat_Matrix!$AA$2:$AD$4, 4, FALSE) * VLOOKUP(IF(ISBLANK(E4), "Balanced", E4), Stat_Matrix!$AG$2:$AP$6, 4, FALSE), 0)</f>
        <v>450</v>
      </c>
      <c r="I4" s="42">
        <f>VLOOKUP(C4, Stat_Matrix!$E$2:$N$7, 5, FALSE) + (VLOOKUP(B4, Stat_Matrix!$A$2:$C$5, 3, FALSE) * VLOOKUP(C4, Stat_Matrix!$P$2:$Y$7, 5, FALSE)) + VLOOKUP(IF(ISBLANK(E4), "Balanced", E4), Stat_Matrix!$AG$2:$AP$6, 5, FALSE)</f>
        <v>82</v>
      </c>
      <c r="J4" s="42">
        <f>VLOOKUP(C4, Stat_Matrix!$E$2:$N$7, 8, FALSE) + (VLOOKUP(B4, Stat_Matrix!$A$2:$C$5, 3, FALSE) * VLOOKUP(C4, Stat_Matrix!$P$2:$Y$7, 8, FALSE)) + VLOOKUP(IF(ISBLANK(E4), "Balanced", E4), Stat_Matrix!$AG$2:$AP$6, 8, FALSE)</f>
        <v>0</v>
      </c>
      <c r="K4" s="42">
        <f>VLOOKUP(C4, Stat_Matrix!$E$2:$N$7, 6, FALSE) + (VLOOKUP(B4, Stat_Matrix!$A$2:$C$5, 3, FALSE) * VLOOKUP(C4, Stat_Matrix!$P$2:$Y$7, 6, FALSE)) + VLOOKUP(IF(ISBLANK(E4), "Balanced", E4), Stat_Matrix!$AG$2:$AP$6, 6, FALSE)</f>
        <v>5</v>
      </c>
      <c r="L4" s="42">
        <f>VLOOKUP(C4, Stat_Matrix!$E$2:$N$7, 7, FALSE) + (VLOOKUP(B4, Stat_Matrix!$A$2:$C$5, 3, FALSE) * VLOOKUP(C4, Stat_Matrix!$P$2:$Y$7, 7, FALSE)) + VLOOKUP(IF(ISBLANK(E4), "Balanced", E4), Stat_Matrix!$AG$2:$AP$6, 7, FALSE)</f>
        <v>0</v>
      </c>
      <c r="M4">
        <f>VLOOKUP(C4, Stat_Matrix!$E$2:$N$7, 9, FALSE) + (VLOOKUP(B4, Stat_Matrix!$A$2:$C$5, 3, FALSE) * VLOOKUP(C4, Stat_Matrix!$P$2:$Y$7, 9, FALSE)) + VLOOKUP(IF(ISBLANK(E4), "Balanced", E4), Stat_Matrix!$AG$2:$AP$6, 9, FALSE)</f>
        <v>0</v>
      </c>
      <c r="N4">
        <f>VLOOKUP(C4, Stat_Matrix!$E$2:$N$7, 10, FALSE) + (VLOOKUP(B4, Stat_Matrix!$A$2:$C$5, 3, FALSE) * VLOOKUP(C4, Stat_Matrix!$P$2:$Y$7, 10, FALSE) + VLOOKUP(IF(ISBLANK(D4), "Character", D4), Stat_Matrix!$AA$2:$AE$4, 5, FALSE) + VLOOKUP(IF(ISBLANK(E4), "Balanced", E4), Stat_Matrix!$AG$2:$AP$6, 10, FALSE))</f>
        <v>7</v>
      </c>
    </row>
    <row r="5" spans="1:14" x14ac:dyDescent="0.25">
      <c r="A5" t="s">
        <v>223</v>
      </c>
      <c r="B5" s="3" t="str">
        <f>Character!C5</f>
        <v>SR</v>
      </c>
      <c r="C5" s="39" t="str">
        <f>Character!D5</f>
        <v>Tanker</v>
      </c>
      <c r="D5" s="26" t="str">
        <f>Character!E5</f>
        <v>Character</v>
      </c>
      <c r="E5" s="42" t="s">
        <v>726</v>
      </c>
      <c r="F5" s="42">
        <f>ROUND(VLOOKUP(C5, Stat_Matrix!$E$2:$N$7, 2, FALSE) * VLOOKUP(B5, Stat_Matrix!$A$2:$B$5, 2, FALSE) * VLOOKUP(IF(ISBLANK(D5), "Character", D5), Stat_Matrix!$AA$2:$AD$4, 2, FALSE) * VLOOKUP(IF(ISBLANK(E5), "Balanced", E5), Stat_Matrix!$AG$2:$AP$6, 2, FALSE), 0)</f>
        <v>5520</v>
      </c>
      <c r="G5" s="42">
        <f>ROUND(VLOOKUP(C5, Stat_Matrix!$E$2:$N$7, 3, FALSE) * VLOOKUP(B5, Stat_Matrix!$A$2:$B$5, 2, FALSE) * VLOOKUP(IF(ISBLANK(D5), "Character", D5), Stat_Matrix!$AA$2:$AD$4, 3, FALSE) * VLOOKUP(IF(ISBLANK(E5), "Balanced", E5), Stat_Matrix!$AG$2:$AP$6, 3, FALSE), 0)</f>
        <v>972</v>
      </c>
      <c r="H5" s="42">
        <f>ROUND(VLOOKUP(C5, Stat_Matrix!$E$2:$N$7, 4, FALSE) * VLOOKUP(B5, Stat_Matrix!$A$2:$B$5, 2, FALSE) * VLOOKUP(IF(ISBLANK(D5), "Character", D5), Stat_Matrix!$AA$2:$AD$4, 4, FALSE) * VLOOKUP(IF(ISBLANK(E5), "Balanced", E5), Stat_Matrix!$AG$2:$AP$6, 4, FALSE), 0)</f>
        <v>495</v>
      </c>
      <c r="I5" s="42">
        <f>VLOOKUP(C5, Stat_Matrix!$E$2:$N$7, 5, FALSE) + (VLOOKUP(B5, Stat_Matrix!$A$2:$C$5, 3, FALSE) * VLOOKUP(C5, Stat_Matrix!$P$2:$Y$7, 5, FALSE)) + VLOOKUP(IF(ISBLANK(E5), "Balanced", E5), Stat_Matrix!$AG$2:$AP$6, 5, FALSE)</f>
        <v>82</v>
      </c>
      <c r="J5" s="42">
        <f>VLOOKUP(C5, Stat_Matrix!$E$2:$N$7, 8, FALSE) + (VLOOKUP(B5, Stat_Matrix!$A$2:$C$5, 3, FALSE) * VLOOKUP(C5, Stat_Matrix!$P$2:$Y$7, 8, FALSE)) + VLOOKUP(IF(ISBLANK(E5), "Balanced", E5), Stat_Matrix!$AG$2:$AP$6, 8, FALSE)</f>
        <v>0</v>
      </c>
      <c r="K5" s="42">
        <f>VLOOKUP(C5, Stat_Matrix!$E$2:$N$7, 6, FALSE) + (VLOOKUP(B5, Stat_Matrix!$A$2:$C$5, 3, FALSE) * VLOOKUP(C5, Stat_Matrix!$P$2:$Y$7, 6, FALSE)) + VLOOKUP(IF(ISBLANK(E5), "Balanced", E5), Stat_Matrix!$AG$2:$AP$6, 6, FALSE)</f>
        <v>5</v>
      </c>
      <c r="L5" s="42">
        <f>VLOOKUP(C5, Stat_Matrix!$E$2:$N$7, 7, FALSE) + (VLOOKUP(B5, Stat_Matrix!$A$2:$C$5, 3, FALSE) * VLOOKUP(C5, Stat_Matrix!$P$2:$Y$7, 7, FALSE)) + VLOOKUP(IF(ISBLANK(E5), "Balanced", E5), Stat_Matrix!$AG$2:$AP$6, 7, FALSE)</f>
        <v>0</v>
      </c>
      <c r="M5">
        <f>VLOOKUP(C5, Stat_Matrix!$E$2:$N$7, 9, FALSE) + (VLOOKUP(B5, Stat_Matrix!$A$2:$C$5, 3, FALSE) * VLOOKUP(C5, Stat_Matrix!$P$2:$Y$7, 9, FALSE)) + VLOOKUP(IF(ISBLANK(E5), "Balanced", E5), Stat_Matrix!$AG$2:$AP$6, 9, FALSE)</f>
        <v>0</v>
      </c>
      <c r="N5">
        <f>VLOOKUP(C5, Stat_Matrix!$E$2:$N$7, 10, FALSE) + (VLOOKUP(B5, Stat_Matrix!$A$2:$C$5, 3, FALSE) * VLOOKUP(C5, Stat_Matrix!$P$2:$Y$7, 10, FALSE) + VLOOKUP(IF(ISBLANK(D5), "Character", D5), Stat_Matrix!$AA$2:$AE$4, 5, FALSE) + VLOOKUP(IF(ISBLANK(E5), "Balanced", E5), Stat_Matrix!$AG$2:$AP$6, 10, FALSE))</f>
        <v>12</v>
      </c>
    </row>
    <row r="6" spans="1:14" x14ac:dyDescent="0.25">
      <c r="A6" s="23" t="s">
        <v>225</v>
      </c>
      <c r="B6" s="3" t="str">
        <f>Character!C6</f>
        <v>SR</v>
      </c>
      <c r="C6" s="32" t="str">
        <f>Character!D6</f>
        <v>Support</v>
      </c>
      <c r="D6" s="26" t="str">
        <f>Character!E6</f>
        <v>Character</v>
      </c>
      <c r="E6" s="42" t="s">
        <v>726</v>
      </c>
      <c r="F6" s="42">
        <f>ROUND(VLOOKUP(C6, Stat_Matrix!$E$2:$N$7, 2, FALSE) * VLOOKUP(B6, Stat_Matrix!$A$2:$B$5, 2, FALSE) * VLOOKUP(IF(ISBLANK(D6), "Character", D6), Stat_Matrix!$AA$2:$AD$4, 2, FALSE) * VLOOKUP(IF(ISBLANK(E6), "Balanced", E6), Stat_Matrix!$AG$2:$AP$6, 2, FALSE), 0)</f>
        <v>4140</v>
      </c>
      <c r="G6" s="42">
        <f>ROUND(VLOOKUP(C6, Stat_Matrix!$E$2:$N$7, 3, FALSE) * VLOOKUP(B6, Stat_Matrix!$A$2:$B$5, 2, FALSE) * VLOOKUP(IF(ISBLANK(D6), "Character", D6), Stat_Matrix!$AA$2:$AD$4, 3, FALSE) * VLOOKUP(IF(ISBLANK(E6), "Balanced", E6), Stat_Matrix!$AG$2:$AP$6, 3, FALSE), 0)</f>
        <v>1134</v>
      </c>
      <c r="H6" s="42">
        <f>ROUND(VLOOKUP(C6, Stat_Matrix!$E$2:$N$7, 4, FALSE) * VLOOKUP(B6, Stat_Matrix!$A$2:$B$5, 2, FALSE) * VLOOKUP(IF(ISBLANK(D6), "Character", D6), Stat_Matrix!$AA$2:$AD$4, 4, FALSE) * VLOOKUP(IF(ISBLANK(E6), "Balanced", E6), Stat_Matrix!$AG$2:$AP$6, 4, FALSE), 0)</f>
        <v>330</v>
      </c>
      <c r="I6" s="42">
        <f>VLOOKUP(C6, Stat_Matrix!$E$2:$N$7, 5, FALSE) + (VLOOKUP(B6, Stat_Matrix!$A$2:$C$5, 3, FALSE) * VLOOKUP(C6, Stat_Matrix!$P$2:$Y$7, 5, FALSE)) + VLOOKUP(IF(ISBLANK(E6), "Balanced", E6), Stat_Matrix!$AG$2:$AP$6, 5, FALSE)</f>
        <v>103</v>
      </c>
      <c r="J6" s="42">
        <f>VLOOKUP(C6, Stat_Matrix!$E$2:$N$7, 8, FALSE) + (VLOOKUP(B6, Stat_Matrix!$A$2:$C$5, 3, FALSE) * VLOOKUP(C6, Stat_Matrix!$P$2:$Y$7, 8, FALSE)) + VLOOKUP(IF(ISBLANK(E6), "Balanced", E6), Stat_Matrix!$AG$2:$AP$6, 8, FALSE)</f>
        <v>0</v>
      </c>
      <c r="K6" s="42">
        <f>VLOOKUP(C6, Stat_Matrix!$E$2:$N$7, 6, FALSE) + (VLOOKUP(B6, Stat_Matrix!$A$2:$C$5, 3, FALSE) * VLOOKUP(C6, Stat_Matrix!$P$2:$Y$7, 6, FALSE)) + VLOOKUP(IF(ISBLANK(E6), "Balanced", E6), Stat_Matrix!$AG$2:$AP$6, 6, FALSE)</f>
        <v>5</v>
      </c>
      <c r="L6" s="42">
        <f>VLOOKUP(C6, Stat_Matrix!$E$2:$N$7, 7, FALSE) + (VLOOKUP(B6, Stat_Matrix!$A$2:$C$5, 3, FALSE) * VLOOKUP(C6, Stat_Matrix!$P$2:$Y$7, 7, FALSE)) + VLOOKUP(IF(ISBLANK(E6), "Balanced", E6), Stat_Matrix!$AG$2:$AP$6, 7, FALSE)</f>
        <v>0</v>
      </c>
      <c r="M6">
        <f>VLOOKUP(C6, Stat_Matrix!$E$2:$N$7, 9, FALSE) + (VLOOKUP(B6, Stat_Matrix!$A$2:$C$5, 3, FALSE) * VLOOKUP(C6, Stat_Matrix!$P$2:$Y$7, 9, FALSE)) + VLOOKUP(IF(ISBLANK(E6), "Balanced", E6), Stat_Matrix!$AG$2:$AP$6, 9, FALSE)</f>
        <v>0</v>
      </c>
      <c r="N6">
        <f>VLOOKUP(C6, Stat_Matrix!$E$2:$N$7, 10, FALSE) + (VLOOKUP(B6, Stat_Matrix!$A$2:$C$5, 3, FALSE) * VLOOKUP(C6, Stat_Matrix!$P$2:$Y$7, 10, FALSE) + VLOOKUP(IF(ISBLANK(D6), "Character", D6), Stat_Matrix!$AA$2:$AE$4, 5, FALSE) + VLOOKUP(IF(ISBLANK(E6), "Balanced", E6), Stat_Matrix!$AG$2:$AP$6, 10, FALSE))</f>
        <v>10</v>
      </c>
    </row>
    <row r="7" spans="1:14" x14ac:dyDescent="0.25">
      <c r="A7" t="s">
        <v>227</v>
      </c>
      <c r="B7" s="14" t="str">
        <f>Character!C7</f>
        <v>SSR</v>
      </c>
      <c r="C7" s="25" t="str">
        <f>Character!D7</f>
        <v>Assassin</v>
      </c>
      <c r="D7" s="26" t="str">
        <f>Character!E7</f>
        <v>Character</v>
      </c>
      <c r="E7" s="42" t="s">
        <v>724</v>
      </c>
      <c r="F7" s="42">
        <f>ROUND(VLOOKUP(C7, Stat_Matrix!$E$2:$N$7, 2, FALSE) * VLOOKUP(B7, Stat_Matrix!$A$2:$B$5, 2, FALSE) * VLOOKUP(IF(ISBLANK(D7), "Character", D7), Stat_Matrix!$AA$2:$AD$4, 2, FALSE) * VLOOKUP(IF(ISBLANK(E7), "Balanced", E7), Stat_Matrix!$AG$2:$AP$6, 2, FALSE), 0)</f>
        <v>2755</v>
      </c>
      <c r="G7" s="42">
        <f>ROUND(VLOOKUP(C7, Stat_Matrix!$E$2:$N$7, 3, FALSE) * VLOOKUP(B7, Stat_Matrix!$A$2:$B$5, 2, FALSE) * VLOOKUP(IF(ISBLANK(D7), "Character", D7), Stat_Matrix!$AA$2:$AD$4, 3, FALSE) * VLOOKUP(IF(ISBLANK(E7), "Balanced", E7), Stat_Matrix!$AG$2:$AP$6, 3, FALSE), 0)</f>
        <v>3589</v>
      </c>
      <c r="H7" s="42">
        <f>ROUND(VLOOKUP(C7, Stat_Matrix!$E$2:$N$7, 4, FALSE) * VLOOKUP(B7, Stat_Matrix!$A$2:$B$5, 2, FALSE) * VLOOKUP(IF(ISBLANK(D7), "Character", D7), Stat_Matrix!$AA$2:$AD$4, 4, FALSE) * VLOOKUP(IF(ISBLANK(E7), "Balanced", E7), Stat_Matrix!$AG$2:$AP$6, 4, FALSE), 0)</f>
        <v>276</v>
      </c>
      <c r="I7" s="42">
        <f>VLOOKUP(C7, Stat_Matrix!$E$2:$N$7, 5, FALSE) + (VLOOKUP(B7, Stat_Matrix!$A$2:$C$5, 3, FALSE) * VLOOKUP(C7, Stat_Matrix!$P$2:$Y$7, 5, FALSE)) + VLOOKUP(IF(ISBLANK(E7), "Balanced", E7), Stat_Matrix!$AG$2:$AP$6, 5, FALSE)</f>
        <v>111</v>
      </c>
      <c r="J7" s="42">
        <f>VLOOKUP(C7, Stat_Matrix!$E$2:$N$7, 8, FALSE) + (VLOOKUP(B7, Stat_Matrix!$A$2:$C$5, 3, FALSE) * VLOOKUP(C7, Stat_Matrix!$P$2:$Y$7, 8, FALSE)) + VLOOKUP(IF(ISBLANK(E7), "Balanced", E7), Stat_Matrix!$AG$2:$AP$6, 8, FALSE)</f>
        <v>21</v>
      </c>
      <c r="K7" s="42">
        <f>VLOOKUP(C7, Stat_Matrix!$E$2:$N$7, 6, FALSE) + (VLOOKUP(B7, Stat_Matrix!$A$2:$C$5, 3, FALSE) * VLOOKUP(C7, Stat_Matrix!$P$2:$Y$7, 6, FALSE)) + VLOOKUP(IF(ISBLANK(E7), "Balanced", E7), Stat_Matrix!$AG$2:$AP$6, 6, FALSE)</f>
        <v>16</v>
      </c>
      <c r="L7" s="42">
        <f>VLOOKUP(C7, Stat_Matrix!$E$2:$N$7, 7, FALSE) + (VLOOKUP(B7, Stat_Matrix!$A$2:$C$5, 3, FALSE) * VLOOKUP(C7, Stat_Matrix!$P$2:$Y$7, 7, FALSE)) + VLOOKUP(IF(ISBLANK(E7), "Balanced", E7), Stat_Matrix!$AG$2:$AP$6, 7, FALSE)</f>
        <v>29</v>
      </c>
      <c r="M7">
        <f>VLOOKUP(C7, Stat_Matrix!$E$2:$N$7, 9, FALSE) + (VLOOKUP(B7, Stat_Matrix!$A$2:$C$5, 3, FALSE) * VLOOKUP(C7, Stat_Matrix!$P$2:$Y$7, 9, FALSE)) + VLOOKUP(IF(ISBLANK(E7), "Balanced", E7), Stat_Matrix!$AG$2:$AP$6, 9, FALSE)</f>
        <v>9</v>
      </c>
      <c r="N7">
        <f>VLOOKUP(C7, Stat_Matrix!$E$2:$N$7, 10, FALSE) + (VLOOKUP(B7, Stat_Matrix!$A$2:$C$5, 3, FALSE) * VLOOKUP(C7, Stat_Matrix!$P$2:$Y$7, 10, FALSE) + VLOOKUP(IF(ISBLANK(D7), "Character", D7), Stat_Matrix!$AA$2:$AE$4, 5, FALSE) + VLOOKUP(IF(ISBLANK(E7), "Balanced", E7), Stat_Matrix!$AG$2:$AP$6, 10, FALSE))</f>
        <v>0</v>
      </c>
    </row>
    <row r="8" spans="1:14" x14ac:dyDescent="0.25">
      <c r="A8" t="s">
        <v>229</v>
      </c>
      <c r="B8" s="3" t="str">
        <f>Character!C8</f>
        <v>R</v>
      </c>
      <c r="C8" s="7" t="str">
        <f>Character!D8</f>
        <v>ADCarry</v>
      </c>
      <c r="D8" s="26" t="str">
        <f>Character!E8</f>
        <v>Character</v>
      </c>
      <c r="E8" s="42" t="s">
        <v>727</v>
      </c>
      <c r="F8" s="42">
        <f>ROUND(VLOOKUP(C8, Stat_Matrix!$E$2:$N$7, 2, FALSE) * VLOOKUP(B8, Stat_Matrix!$A$2:$B$5, 2, FALSE) * VLOOKUP(IF(ISBLANK(D8), "Character", D8), Stat_Matrix!$AA$2:$AD$4, 2, FALSE) * VLOOKUP(IF(ISBLANK(E8), "Balanced", E8), Stat_Matrix!$AG$2:$AP$6, 2, FALSE), 0)</f>
        <v>2090</v>
      </c>
      <c r="G8" s="42">
        <f>ROUND(VLOOKUP(C8, Stat_Matrix!$E$2:$N$7, 3, FALSE) * VLOOKUP(B8, Stat_Matrix!$A$2:$B$5, 2, FALSE) * VLOOKUP(IF(ISBLANK(D8), "Character", D8), Stat_Matrix!$AA$2:$AD$4, 3, FALSE) * VLOOKUP(IF(ISBLANK(E8), "Balanced", E8), Stat_Matrix!$AG$2:$AP$6, 3, FALSE), 0)</f>
        <v>2090</v>
      </c>
      <c r="H8" s="42">
        <f>ROUND(VLOOKUP(C8, Stat_Matrix!$E$2:$N$7, 4, FALSE) * VLOOKUP(B8, Stat_Matrix!$A$2:$B$5, 2, FALSE) * VLOOKUP(IF(ISBLANK(D8), "Character", D8), Stat_Matrix!$AA$2:$AD$4, 4, FALSE) * VLOOKUP(IF(ISBLANK(E8), "Balanced", E8), Stat_Matrix!$AG$2:$AP$6, 4, FALSE), 0)</f>
        <v>209</v>
      </c>
      <c r="I8" s="42">
        <f>VLOOKUP(C8, Stat_Matrix!$E$2:$N$7, 5, FALSE) + (VLOOKUP(B8, Stat_Matrix!$A$2:$C$5, 3, FALSE) * VLOOKUP(C8, Stat_Matrix!$P$2:$Y$7, 5, FALSE)) + VLOOKUP(IF(ISBLANK(E8), "Balanced", E8), Stat_Matrix!$AG$2:$AP$6, 5, FALSE)</f>
        <v>108</v>
      </c>
      <c r="J8" s="42">
        <f>VLOOKUP(C8, Stat_Matrix!$E$2:$N$7, 8, FALSE) + (VLOOKUP(B8, Stat_Matrix!$A$2:$C$5, 3, FALSE) * VLOOKUP(C8, Stat_Matrix!$P$2:$Y$7, 8, FALSE)) + VLOOKUP(IF(ISBLANK(E8), "Balanced", E8), Stat_Matrix!$AG$2:$AP$6, 8, FALSE)</f>
        <v>5</v>
      </c>
      <c r="K8" s="42">
        <f>VLOOKUP(C8, Stat_Matrix!$E$2:$N$7, 6, FALSE) + (VLOOKUP(B8, Stat_Matrix!$A$2:$C$5, 3, FALSE) * VLOOKUP(C8, Stat_Matrix!$P$2:$Y$7, 6, FALSE)) + VLOOKUP(IF(ISBLANK(E8), "Balanced", E8), Stat_Matrix!$AG$2:$AP$6, 6, FALSE)</f>
        <v>13</v>
      </c>
      <c r="L8" s="42">
        <f>VLOOKUP(C8, Stat_Matrix!$E$2:$N$7, 7, FALSE) + (VLOOKUP(B8, Stat_Matrix!$A$2:$C$5, 3, FALSE) * VLOOKUP(C8, Stat_Matrix!$P$2:$Y$7, 7, FALSE)) + VLOOKUP(IF(ISBLANK(E8), "Balanced", E8), Stat_Matrix!$AG$2:$AP$6, 7, FALSE)</f>
        <v>10</v>
      </c>
      <c r="M8">
        <f>VLOOKUP(C8, Stat_Matrix!$E$2:$N$7, 9, FALSE) + (VLOOKUP(B8, Stat_Matrix!$A$2:$C$5, 3, FALSE) * VLOOKUP(C8, Stat_Matrix!$P$2:$Y$7, 9, FALSE)) + VLOOKUP(IF(ISBLANK(E8), "Balanced", E8), Stat_Matrix!$AG$2:$AP$6, 9, FALSE)</f>
        <v>4</v>
      </c>
      <c r="N8">
        <f>VLOOKUP(C8, Stat_Matrix!$E$2:$N$7, 10, FALSE) + (VLOOKUP(B8, Stat_Matrix!$A$2:$C$5, 3, FALSE) * VLOOKUP(C8, Stat_Matrix!$P$2:$Y$7, 10, FALSE) + VLOOKUP(IF(ISBLANK(D8), "Character", D8), Stat_Matrix!$AA$2:$AE$4, 5, FALSE) + VLOOKUP(IF(ISBLANK(E8), "Balanced", E8), Stat_Matrix!$AG$2:$AP$6, 10, FALSE))</f>
        <v>0</v>
      </c>
    </row>
    <row r="9" spans="1:14" x14ac:dyDescent="0.25">
      <c r="A9" t="s">
        <v>231</v>
      </c>
      <c r="B9" s="2" t="str">
        <f>Character!C9</f>
        <v>SSR</v>
      </c>
      <c r="C9" s="39" t="str">
        <f>Character!D9</f>
        <v>Tanker</v>
      </c>
      <c r="D9" s="26" t="str">
        <f>Character!E9</f>
        <v>Character</v>
      </c>
      <c r="E9" s="42" t="s">
        <v>726</v>
      </c>
      <c r="F9" s="42">
        <f>ROUND(VLOOKUP(C9, Stat_Matrix!$E$2:$N$7, 2, FALSE) * VLOOKUP(B9, Stat_Matrix!$A$2:$B$5, 2, FALSE) * VLOOKUP(IF(ISBLANK(D9), "Character", D9), Stat_Matrix!$AA$2:$AD$4, 2, FALSE) * VLOOKUP(IF(ISBLANK(E9), "Balanced", E9), Stat_Matrix!$AG$2:$AP$6, 2, FALSE), 0)</f>
        <v>6670</v>
      </c>
      <c r="G9" s="42">
        <f>ROUND(VLOOKUP(C9, Stat_Matrix!$E$2:$N$7, 3, FALSE) * VLOOKUP(B9, Stat_Matrix!$A$2:$B$5, 2, FALSE) * VLOOKUP(IF(ISBLANK(D9), "Character", D9), Stat_Matrix!$AA$2:$AD$4, 3, FALSE) * VLOOKUP(IF(ISBLANK(E9), "Balanced", E9), Stat_Matrix!$AG$2:$AP$6, 3, FALSE), 0)</f>
        <v>1175</v>
      </c>
      <c r="H9" s="42">
        <f>ROUND(VLOOKUP(C9, Stat_Matrix!$E$2:$N$7, 4, FALSE) * VLOOKUP(B9, Stat_Matrix!$A$2:$B$5, 2, FALSE) * VLOOKUP(IF(ISBLANK(D9), "Character", D9), Stat_Matrix!$AA$2:$AD$4, 4, FALSE) * VLOOKUP(IF(ISBLANK(E9), "Balanced", E9), Stat_Matrix!$AG$2:$AP$6, 4, FALSE), 0)</f>
        <v>598</v>
      </c>
      <c r="I9" s="42">
        <f>VLOOKUP(C9, Stat_Matrix!$E$2:$N$7, 5, FALSE) + (VLOOKUP(B9, Stat_Matrix!$A$2:$C$5, 3, FALSE) * VLOOKUP(C9, Stat_Matrix!$P$2:$Y$7, 5, FALSE)) + VLOOKUP(IF(ISBLANK(E9), "Balanced", E9), Stat_Matrix!$AG$2:$AP$6, 5, FALSE)</f>
        <v>84</v>
      </c>
      <c r="J9" s="42">
        <f>VLOOKUP(C9, Stat_Matrix!$E$2:$N$7, 8, FALSE) + (VLOOKUP(B9, Stat_Matrix!$A$2:$C$5, 3, FALSE) * VLOOKUP(C9, Stat_Matrix!$P$2:$Y$7, 8, FALSE)) + VLOOKUP(IF(ISBLANK(E9), "Balanced", E9), Stat_Matrix!$AG$2:$AP$6, 8, FALSE)</f>
        <v>0</v>
      </c>
      <c r="K9" s="42">
        <f>VLOOKUP(C9, Stat_Matrix!$E$2:$N$7, 6, FALSE) + (VLOOKUP(B9, Stat_Matrix!$A$2:$C$5, 3, FALSE) * VLOOKUP(C9, Stat_Matrix!$P$2:$Y$7, 6, FALSE)) + VLOOKUP(IF(ISBLANK(E9), "Balanced", E9), Stat_Matrix!$AG$2:$AP$6, 6, FALSE)</f>
        <v>5</v>
      </c>
      <c r="L9" s="42">
        <f>VLOOKUP(C9, Stat_Matrix!$E$2:$N$7, 7, FALSE) + (VLOOKUP(B9, Stat_Matrix!$A$2:$C$5, 3, FALSE) * VLOOKUP(C9, Stat_Matrix!$P$2:$Y$7, 7, FALSE)) + VLOOKUP(IF(ISBLANK(E9), "Balanced", E9), Stat_Matrix!$AG$2:$AP$6, 7, FALSE)</f>
        <v>0</v>
      </c>
      <c r="M9">
        <f>VLOOKUP(C9, Stat_Matrix!$E$2:$N$7, 9, FALSE) + (VLOOKUP(B9, Stat_Matrix!$A$2:$C$5, 3, FALSE) * VLOOKUP(C9, Stat_Matrix!$P$2:$Y$7, 9, FALSE)) + VLOOKUP(IF(ISBLANK(E9), "Balanced", E9), Stat_Matrix!$AG$2:$AP$6, 9, FALSE)</f>
        <v>0</v>
      </c>
      <c r="N9">
        <f>VLOOKUP(C9, Stat_Matrix!$E$2:$N$7, 10, FALSE) + (VLOOKUP(B9, Stat_Matrix!$A$2:$C$5, 3, FALSE) * VLOOKUP(C9, Stat_Matrix!$P$2:$Y$7, 10, FALSE) + VLOOKUP(IF(ISBLANK(D9), "Character", D9), Stat_Matrix!$AA$2:$AE$4, 5, FALSE) + VLOOKUP(IF(ISBLANK(E9), "Balanced", E9), Stat_Matrix!$AG$2:$AP$6, 10, FALSE))</f>
        <v>14</v>
      </c>
    </row>
    <row r="10" spans="1:14" x14ac:dyDescent="0.25">
      <c r="A10" t="s">
        <v>233</v>
      </c>
      <c r="B10" s="2" t="str">
        <f>Character!C10</f>
        <v>UR</v>
      </c>
      <c r="C10" s="8" t="str">
        <f>Character!D10</f>
        <v>Fighter</v>
      </c>
      <c r="D10" s="26" t="str">
        <f>Character!E10</f>
        <v>Character</v>
      </c>
      <c r="E10" s="42" t="s">
        <v>725</v>
      </c>
      <c r="F10" s="42">
        <f>ROUND(VLOOKUP(C10, Stat_Matrix!$E$2:$N$7, 2, FALSE) * VLOOKUP(B10, Stat_Matrix!$A$2:$B$5, 2, FALSE) * VLOOKUP(IF(ISBLANK(D10), "Character", D10), Stat_Matrix!$AA$2:$AD$4, 2, FALSE) * VLOOKUP(IF(ISBLANK(E10), "Balanced", E10), Stat_Matrix!$AG$2:$AP$6, 2, FALSE), 0)</f>
        <v>4675</v>
      </c>
      <c r="G10" s="42">
        <f>ROUND(VLOOKUP(C10, Stat_Matrix!$E$2:$N$7, 3, FALSE) * VLOOKUP(B10, Stat_Matrix!$A$2:$B$5, 2, FALSE) * VLOOKUP(IF(ISBLANK(D10), "Character", D10), Stat_Matrix!$AA$2:$AD$4, 3, FALSE) * VLOOKUP(IF(ISBLANK(E10), "Balanced", E10), Stat_Matrix!$AG$2:$AP$6, 3, FALSE), 0)</f>
        <v>2805</v>
      </c>
      <c r="H10" s="42">
        <f>ROUND(VLOOKUP(C10, Stat_Matrix!$E$2:$N$7, 4, FALSE) * VLOOKUP(B10, Stat_Matrix!$A$2:$B$5, 2, FALSE) * VLOOKUP(IF(ISBLANK(D10), "Character", D10), Stat_Matrix!$AA$2:$AD$4, 4, FALSE) * VLOOKUP(IF(ISBLANK(E10), "Balanced", E10), Stat_Matrix!$AG$2:$AP$6, 4, FALSE), 0)</f>
        <v>468</v>
      </c>
      <c r="I10" s="42">
        <f>VLOOKUP(C10, Stat_Matrix!$E$2:$N$7, 5, FALSE) + (VLOOKUP(B10, Stat_Matrix!$A$2:$C$5, 3, FALSE) * VLOOKUP(C10, Stat_Matrix!$P$2:$Y$7, 5, FALSE)) + VLOOKUP(IF(ISBLANK(E10), "Balanced", E10), Stat_Matrix!$AG$2:$AP$6, 5, FALSE)</f>
        <v>96</v>
      </c>
      <c r="J10" s="42">
        <f>VLOOKUP(C10, Stat_Matrix!$E$2:$N$7, 8, FALSE) + (VLOOKUP(B10, Stat_Matrix!$A$2:$C$5, 3, FALSE) * VLOOKUP(C10, Stat_Matrix!$P$2:$Y$7, 8, FALSE)) + VLOOKUP(IF(ISBLANK(E10), "Balanced", E10), Stat_Matrix!$AG$2:$AP$6, 8, FALSE)</f>
        <v>11</v>
      </c>
      <c r="K10" s="42">
        <v>12</v>
      </c>
      <c r="L10" s="42">
        <f>VLOOKUP(C10, Stat_Matrix!$E$2:$N$7, 7, FALSE) + (VLOOKUP(B10, Stat_Matrix!$A$2:$C$5, 3, FALSE) * VLOOKUP(C10, Stat_Matrix!$P$2:$Y$7, 7, FALSE)) + VLOOKUP(IF(ISBLANK(E10), "Balanced", E10), Stat_Matrix!$AG$2:$AP$6, 7, FALSE)</f>
        <v>14</v>
      </c>
      <c r="M10">
        <f>VLOOKUP(C10, Stat_Matrix!$E$2:$N$7, 9, FALSE) + (VLOOKUP(B10, Stat_Matrix!$A$2:$C$5, 3, FALSE) * VLOOKUP(C10, Stat_Matrix!$P$2:$Y$7, 9, FALSE)) + VLOOKUP(IF(ISBLANK(E10), "Balanced", E10), Stat_Matrix!$AG$2:$AP$6, 9, FALSE)</f>
        <v>5</v>
      </c>
      <c r="N10">
        <f>VLOOKUP(C10, Stat_Matrix!$E$2:$N$7, 10, FALSE) + (VLOOKUP(B10, Stat_Matrix!$A$2:$C$5, 3, FALSE) * VLOOKUP(C10, Stat_Matrix!$P$2:$Y$7, 10, FALSE) + VLOOKUP(IF(ISBLANK(D10), "Character", D10), Stat_Matrix!$AA$2:$AE$4, 5, FALSE) + VLOOKUP(IF(ISBLANK(E10), "Balanced", E10), Stat_Matrix!$AG$2:$AP$6, 10, FALSE))</f>
        <v>0</v>
      </c>
    </row>
    <row r="11" spans="1:14" x14ac:dyDescent="0.25">
      <c r="A11" s="23" t="s">
        <v>652</v>
      </c>
      <c r="B11" s="2" t="str">
        <f>Character!C11</f>
        <v>UR</v>
      </c>
      <c r="C11" s="25" t="str">
        <f>Character!D11</f>
        <v>Mage</v>
      </c>
      <c r="D11" s="26" t="str">
        <f>Character!E11</f>
        <v>Character</v>
      </c>
      <c r="E11" s="42" t="s">
        <v>725</v>
      </c>
      <c r="F11" s="42">
        <f>ROUND(VLOOKUP(C11, Stat_Matrix!$E$2:$N$7, 2, FALSE) * VLOOKUP(B11, Stat_Matrix!$A$2:$B$5, 2, FALSE) * VLOOKUP(IF(ISBLANK(D11), "Character", D11), Stat_Matrix!$AA$2:$AD$4, 2, FALSE) * VLOOKUP(IF(ISBLANK(E11), "Balanced", E11), Stat_Matrix!$AG$2:$AP$6, 2, FALSE), 0)</f>
        <v>3825</v>
      </c>
      <c r="G11" s="42">
        <f>ROUND(VLOOKUP(C11, Stat_Matrix!$E$2:$N$7, 3, FALSE) * VLOOKUP(B11, Stat_Matrix!$A$2:$B$5, 2, FALSE) * VLOOKUP(IF(ISBLANK(D11), "Character", D11), Stat_Matrix!$AA$2:$AD$4, 3, FALSE) * VLOOKUP(IF(ISBLANK(E11), "Balanced", E11), Stat_Matrix!$AG$2:$AP$6, 3, FALSE), 0)</f>
        <v>3570</v>
      </c>
      <c r="H11" s="42">
        <f>ROUND(VLOOKUP(C11, Stat_Matrix!$E$2:$N$7, 4, FALSE) * VLOOKUP(B11, Stat_Matrix!$A$2:$B$5, 2, FALSE) * VLOOKUP(IF(ISBLANK(D11), "Character", D11), Stat_Matrix!$AA$2:$AD$4, 4, FALSE) * VLOOKUP(IF(ISBLANK(E11), "Balanced", E11), Stat_Matrix!$AG$2:$AP$6, 4, FALSE), 0)</f>
        <v>357</v>
      </c>
      <c r="I11" s="42">
        <f>VLOOKUP(C11, Stat_Matrix!$E$2:$N$7, 5, FALSE) + (VLOOKUP(B11, Stat_Matrix!$A$2:$C$5, 3, FALSE) * VLOOKUP(C11, Stat_Matrix!$P$2:$Y$7, 5, FALSE)) + VLOOKUP(IF(ISBLANK(E11), "Balanced", E11), Stat_Matrix!$AG$2:$AP$6, 5, FALSE)</f>
        <v>101</v>
      </c>
      <c r="J11" s="42">
        <f>VLOOKUP(C11, Stat_Matrix!$E$2:$N$7, 8, FALSE) + (VLOOKUP(B11, Stat_Matrix!$A$2:$C$5, 3, FALSE) * VLOOKUP(C11, Stat_Matrix!$P$2:$Y$7, 8, FALSE)) + VLOOKUP(IF(ISBLANK(E11), "Balanced", E11), Stat_Matrix!$AG$2:$AP$6, 8, FALSE)</f>
        <v>0</v>
      </c>
      <c r="K11" s="42">
        <f>VLOOKUP(C11, Stat_Matrix!$E$2:$N$7, 6, FALSE) + (VLOOKUP(B11, Stat_Matrix!$A$2:$C$5, 3, FALSE) * VLOOKUP(C11, Stat_Matrix!$P$2:$Y$7, 6, FALSE)) + VLOOKUP(IF(ISBLANK(E11), "Balanced", E11), Stat_Matrix!$AG$2:$AP$6, 6, FALSE)</f>
        <v>8</v>
      </c>
      <c r="L11" s="42">
        <f>VLOOKUP(C11, Stat_Matrix!$E$2:$N$7, 7, FALSE) + (VLOOKUP(B11, Stat_Matrix!$A$2:$C$5, 3, FALSE) * VLOOKUP(C11, Stat_Matrix!$P$2:$Y$7, 7, FALSE)) + VLOOKUP(IF(ISBLANK(E11), "Balanced", E11), Stat_Matrix!$AG$2:$AP$6, 7, FALSE)</f>
        <v>19</v>
      </c>
      <c r="M11">
        <f>VLOOKUP(C11, Stat_Matrix!$E$2:$N$7, 9, FALSE) + (VLOOKUP(B11, Stat_Matrix!$A$2:$C$5, 3, FALSE) * VLOOKUP(C11, Stat_Matrix!$P$2:$Y$7, 9, FALSE)) + VLOOKUP(IF(ISBLANK(E11), "Balanced", E11), Stat_Matrix!$AG$2:$AP$6, 9, FALSE)</f>
        <v>11</v>
      </c>
      <c r="N11">
        <f>VLOOKUP(C11, Stat_Matrix!$E$2:$N$7, 10, FALSE) + (VLOOKUP(B11, Stat_Matrix!$A$2:$C$5, 3, FALSE) * VLOOKUP(C11, Stat_Matrix!$P$2:$Y$7, 10, FALSE) + VLOOKUP(IF(ISBLANK(D11), "Character", D11), Stat_Matrix!$AA$2:$AE$4, 5, FALSE) + VLOOKUP(IF(ISBLANK(E11), "Balanced", E11), Stat_Matrix!$AG$2:$AP$6, 10, FALSE))</f>
        <v>0</v>
      </c>
    </row>
    <row r="12" spans="1:14" x14ac:dyDescent="0.25">
      <c r="A12" s="11" t="s">
        <v>657</v>
      </c>
      <c r="B12" s="17" t="str">
        <f>Character!C12</f>
        <v>R</v>
      </c>
      <c r="C12" s="8" t="str">
        <f>Character!D12</f>
        <v>Fighter</v>
      </c>
      <c r="D12" s="7" t="str">
        <f>Character!E12</f>
        <v>Boss</v>
      </c>
      <c r="E12" s="42" t="s">
        <v>724</v>
      </c>
      <c r="F12" s="42">
        <f>ROUND(VLOOKUP(C12, Stat_Matrix!$E$2:$N$7, 2, FALSE) * VLOOKUP(B12, Stat_Matrix!$A$2:$B$5, 2, FALSE) * VLOOKUP(IF(ISBLANK(D12), "Character", D12), Stat_Matrix!$AA$2:$AD$4, 2, FALSE) * VLOOKUP(IF(ISBLANK(E12), "Balanced", E12), Stat_Matrix!$AG$2:$AP$6, 2, FALSE), 0)</f>
        <v>3919</v>
      </c>
      <c r="G12" s="42">
        <f>ROUND(VLOOKUP(C12, Stat_Matrix!$E$2:$N$7, 3, FALSE) * VLOOKUP(B12, Stat_Matrix!$A$2:$B$5, 2, FALSE) * VLOOKUP(IF(ISBLANK(D12), "Character", D12), Stat_Matrix!$AA$2:$AD$4, 3, FALSE) * VLOOKUP(IF(ISBLANK(E12), "Balanced", E12), Stat_Matrix!$AG$2:$AP$6, 3, FALSE), 0)</f>
        <v>2178</v>
      </c>
      <c r="H12" s="42">
        <f>ROUND(VLOOKUP(C12, Stat_Matrix!$E$2:$N$7, 4, FALSE) * VLOOKUP(B12, Stat_Matrix!$A$2:$B$5, 2, FALSE) * VLOOKUP(IF(ISBLANK(D12), "Character", D12), Stat_Matrix!$AA$2:$AD$4, 4, FALSE) * VLOOKUP(IF(ISBLANK(E12), "Balanced", E12), Stat_Matrix!$AG$2:$AP$6, 4, FALSE), 0)</f>
        <v>314</v>
      </c>
      <c r="I12" s="42">
        <f>VLOOKUP(C12, Stat_Matrix!$E$2:$N$7, 5, FALSE) + (VLOOKUP(B12, Stat_Matrix!$A$2:$C$5, 3, FALSE) * VLOOKUP(C12, Stat_Matrix!$P$2:$Y$7, 5, FALSE)) + VLOOKUP(IF(ISBLANK(E12), "Balanced", E12), Stat_Matrix!$AG$2:$AP$6, 5, FALSE)</f>
        <v>90</v>
      </c>
      <c r="J12" s="42">
        <f>VLOOKUP(C12, Stat_Matrix!$E$2:$N$7, 8, FALSE) + (VLOOKUP(B12, Stat_Matrix!$A$2:$C$5, 3, FALSE) * VLOOKUP(C12, Stat_Matrix!$P$2:$Y$7, 8, FALSE)) + VLOOKUP(IF(ISBLANK(E12), "Balanced", E12), Stat_Matrix!$AG$2:$AP$6, 8, FALSE)</f>
        <v>10</v>
      </c>
      <c r="K12" s="42">
        <v>60</v>
      </c>
      <c r="L12" s="42">
        <v>100</v>
      </c>
      <c r="M12">
        <v>20</v>
      </c>
      <c r="N12">
        <v>25</v>
      </c>
    </row>
    <row r="13" spans="1:14" x14ac:dyDescent="0.25">
      <c r="A13" s="22" t="s">
        <v>239</v>
      </c>
      <c r="B13" s="2" t="str">
        <f>Character!C13</f>
        <v>UR</v>
      </c>
      <c r="C13" s="25" t="str">
        <f>Character!D13</f>
        <v>Assassin</v>
      </c>
      <c r="D13" s="7" t="str">
        <f>Character!E13</f>
        <v>Boss</v>
      </c>
      <c r="E13" s="42" t="s">
        <v>725</v>
      </c>
      <c r="F13" s="42">
        <f>ROUND(VLOOKUP(C13, Stat_Matrix!$E$2:$N$7, 2, FALSE) * VLOOKUP(B13, Stat_Matrix!$A$2:$B$5, 2, FALSE) * VLOOKUP(IF(ISBLANK(D13), "Character", D13), Stat_Matrix!$AA$2:$AD$4, 2, FALSE) * VLOOKUP(IF(ISBLANK(E13), "Balanced", E13), Stat_Matrix!$AG$2:$AP$6, 2, FALSE), 0)</f>
        <v>5100</v>
      </c>
      <c r="G13" s="42">
        <f>ROUND(VLOOKUP(C13, Stat_Matrix!$E$2:$N$7, 3, FALSE) * VLOOKUP(B13, Stat_Matrix!$A$2:$B$5, 2, FALSE) * VLOOKUP(IF(ISBLANK(D13), "Character", D13), Stat_Matrix!$AA$2:$AD$4, 3, FALSE) * VLOOKUP(IF(ISBLANK(E13), "Balanced", E13), Stat_Matrix!$AG$2:$AP$6, 3, FALSE), 0)</f>
        <v>4590</v>
      </c>
      <c r="H13" s="42">
        <f>ROUND(VLOOKUP(C13, Stat_Matrix!$E$2:$N$7, 4, FALSE) * VLOOKUP(B13, Stat_Matrix!$A$2:$B$5, 2, FALSE) * VLOOKUP(IF(ISBLANK(D13), "Character", D13), Stat_Matrix!$AA$2:$AD$4, 4, FALSE) * VLOOKUP(IF(ISBLANK(E13), "Balanced", E13), Stat_Matrix!$AG$2:$AP$6, 4, FALSE), 0)</f>
        <v>408</v>
      </c>
      <c r="I13" s="42">
        <f>VLOOKUP(C13, Stat_Matrix!$E$2:$N$7, 5, FALSE) + (VLOOKUP(B13, Stat_Matrix!$A$2:$C$5, 3, FALSE) * VLOOKUP(C13, Stat_Matrix!$P$2:$Y$7, 5, FALSE)) + VLOOKUP(IF(ISBLANK(E13), "Balanced", E13), Stat_Matrix!$AG$2:$AP$6, 5, FALSE)</f>
        <v>114</v>
      </c>
      <c r="J13" s="42">
        <f>VLOOKUP(C13, Stat_Matrix!$E$2:$N$7, 8, FALSE) + (VLOOKUP(B13, Stat_Matrix!$A$2:$C$5, 3, FALSE) * VLOOKUP(C13, Stat_Matrix!$P$2:$Y$7, 8, FALSE)) + VLOOKUP(IF(ISBLANK(E13), "Balanced", E13), Stat_Matrix!$AG$2:$AP$6, 8, FALSE)</f>
        <v>19</v>
      </c>
      <c r="K13" s="42">
        <v>60</v>
      </c>
      <c r="L13" s="42">
        <v>100</v>
      </c>
      <c r="M13">
        <v>20</v>
      </c>
      <c r="N13">
        <v>25</v>
      </c>
    </row>
    <row r="14" spans="1:14" x14ac:dyDescent="0.25">
      <c r="A14" s="22" t="s">
        <v>241</v>
      </c>
      <c r="B14" s="14" t="str">
        <f>Character!C14</f>
        <v>SSR</v>
      </c>
      <c r="C14" s="25" t="str">
        <f>Character!D14</f>
        <v>Assassin</v>
      </c>
      <c r="D14" s="7" t="str">
        <f>Character!E14</f>
        <v>Boss</v>
      </c>
      <c r="E14" s="42" t="s">
        <v>724</v>
      </c>
      <c r="F14" s="42">
        <f>ROUND(VLOOKUP(C14, Stat_Matrix!$E$2:$N$7, 2, FALSE) * VLOOKUP(B14, Stat_Matrix!$A$2:$B$5, 2, FALSE) * VLOOKUP(IF(ISBLANK(D14), "Character", D14), Stat_Matrix!$AA$2:$AD$4, 2, FALSE) * VLOOKUP(IF(ISBLANK(E14), "Balanced", E14), Stat_Matrix!$AG$2:$AP$6, 2, FALSE), 0)</f>
        <v>4133</v>
      </c>
      <c r="G14" s="42">
        <f>ROUND(VLOOKUP(C14, Stat_Matrix!$E$2:$N$7, 3, FALSE) * VLOOKUP(B14, Stat_Matrix!$A$2:$B$5, 2, FALSE) * VLOOKUP(IF(ISBLANK(D14), "Character", D14), Stat_Matrix!$AA$2:$AD$4, 3, FALSE) * VLOOKUP(IF(ISBLANK(E14), "Balanced", E14), Stat_Matrix!$AG$2:$AP$6, 3, FALSE), 0)</f>
        <v>4307</v>
      </c>
      <c r="H14" s="42">
        <f>ROUND(VLOOKUP(C14, Stat_Matrix!$E$2:$N$7, 4, FALSE) * VLOOKUP(B14, Stat_Matrix!$A$2:$B$5, 2, FALSE) * VLOOKUP(IF(ISBLANK(D14), "Character", D14), Stat_Matrix!$AA$2:$AD$4, 4, FALSE) * VLOOKUP(IF(ISBLANK(E14), "Balanced", E14), Stat_Matrix!$AG$2:$AP$6, 4, FALSE), 0)</f>
        <v>331</v>
      </c>
      <c r="I14" s="42">
        <f>VLOOKUP(C14, Stat_Matrix!$E$2:$N$7, 5, FALSE) + (VLOOKUP(B14, Stat_Matrix!$A$2:$C$5, 3, FALSE) * VLOOKUP(C14, Stat_Matrix!$P$2:$Y$7, 5, FALSE)) + VLOOKUP(IF(ISBLANK(E14), "Balanced", E14), Stat_Matrix!$AG$2:$AP$6, 5, FALSE)</f>
        <v>111</v>
      </c>
      <c r="J14" s="42">
        <f>VLOOKUP(C14, Stat_Matrix!$E$2:$N$7, 8, FALSE) + (VLOOKUP(B14, Stat_Matrix!$A$2:$C$5, 3, FALSE) * VLOOKUP(C14, Stat_Matrix!$P$2:$Y$7, 8, FALSE)) + VLOOKUP(IF(ISBLANK(E14), "Balanced", E14), Stat_Matrix!$AG$2:$AP$6, 8, FALSE)</f>
        <v>21</v>
      </c>
      <c r="K14" s="42">
        <v>60</v>
      </c>
      <c r="L14" s="42">
        <v>100</v>
      </c>
      <c r="M14">
        <v>20</v>
      </c>
      <c r="N14">
        <v>25</v>
      </c>
    </row>
    <row r="15" spans="1:14" x14ac:dyDescent="0.25">
      <c r="A15" s="22" t="s">
        <v>243</v>
      </c>
      <c r="B15" s="14" t="str">
        <f>Character!C15</f>
        <v>SSR</v>
      </c>
      <c r="C15" s="25" t="str">
        <f>Character!D15</f>
        <v>Assassin</v>
      </c>
      <c r="D15" s="7" t="str">
        <f>Character!E15</f>
        <v>Boss</v>
      </c>
      <c r="E15" s="42" t="s">
        <v>724</v>
      </c>
      <c r="F15" s="42">
        <f>ROUND(VLOOKUP(C15, Stat_Matrix!$E$2:$N$7, 2, FALSE) * VLOOKUP(B15, Stat_Matrix!$A$2:$B$5, 2, FALSE) * VLOOKUP(IF(ISBLANK(D15), "Character", D15), Stat_Matrix!$AA$2:$AD$4, 2, FALSE) * VLOOKUP(IF(ISBLANK(E15), "Balanced", E15), Stat_Matrix!$AG$2:$AP$6, 2, FALSE), 0)</f>
        <v>4133</v>
      </c>
      <c r="G15" s="42">
        <f>ROUND(VLOOKUP(C15, Stat_Matrix!$E$2:$N$7, 3, FALSE) * VLOOKUP(B15, Stat_Matrix!$A$2:$B$5, 2, FALSE) * VLOOKUP(IF(ISBLANK(D15), "Character", D15), Stat_Matrix!$AA$2:$AD$4, 3, FALSE) * VLOOKUP(IF(ISBLANK(E15), "Balanced", E15), Stat_Matrix!$AG$2:$AP$6, 3, FALSE), 0)</f>
        <v>4307</v>
      </c>
      <c r="H15" s="42">
        <f>ROUND(VLOOKUP(C15, Stat_Matrix!$E$2:$N$7, 4, FALSE) * VLOOKUP(B15, Stat_Matrix!$A$2:$B$5, 2, FALSE) * VLOOKUP(IF(ISBLANK(D15), "Character", D15), Stat_Matrix!$AA$2:$AD$4, 4, FALSE) * VLOOKUP(IF(ISBLANK(E15), "Balanced", E15), Stat_Matrix!$AG$2:$AP$6, 4, FALSE), 0)</f>
        <v>331</v>
      </c>
      <c r="I15" s="42">
        <f>VLOOKUP(C15, Stat_Matrix!$E$2:$N$7, 5, FALSE) + (VLOOKUP(B15, Stat_Matrix!$A$2:$C$5, 3, FALSE) * VLOOKUP(C15, Stat_Matrix!$P$2:$Y$7, 5, FALSE)) + VLOOKUP(IF(ISBLANK(E15), "Balanced", E15), Stat_Matrix!$AG$2:$AP$6, 5, FALSE)</f>
        <v>111</v>
      </c>
      <c r="J15" s="42">
        <f>VLOOKUP(C15, Stat_Matrix!$E$2:$N$7, 8, FALSE) + (VLOOKUP(B15, Stat_Matrix!$A$2:$C$5, 3, FALSE) * VLOOKUP(C15, Stat_Matrix!$P$2:$Y$7, 8, FALSE)) + VLOOKUP(IF(ISBLANK(E15), "Balanced", E15), Stat_Matrix!$AG$2:$AP$6, 8, FALSE)</f>
        <v>21</v>
      </c>
      <c r="K15" s="42">
        <v>60</v>
      </c>
      <c r="L15" s="42">
        <v>100</v>
      </c>
      <c r="M15">
        <v>20</v>
      </c>
      <c r="N15">
        <v>25</v>
      </c>
    </row>
    <row r="16" spans="1:14" x14ac:dyDescent="0.25">
      <c r="A16" s="22" t="s">
        <v>245</v>
      </c>
      <c r="B16" s="2" t="str">
        <f>Character!C16</f>
        <v>UR</v>
      </c>
      <c r="C16" s="8" t="str">
        <f>Character!D16</f>
        <v>Fighter</v>
      </c>
      <c r="D16" s="7" t="str">
        <f>Character!E16</f>
        <v>Boss</v>
      </c>
      <c r="E16" s="42" t="s">
        <v>724</v>
      </c>
      <c r="F16" s="42">
        <f>ROUND(VLOOKUP(C16, Stat_Matrix!$E$2:$N$7, 2, FALSE) * VLOOKUP(B16, Stat_Matrix!$A$2:$B$5, 2, FALSE) * VLOOKUP(IF(ISBLANK(D16), "Character", D16), Stat_Matrix!$AA$2:$AD$4, 2, FALSE) * VLOOKUP(IF(ISBLANK(E16), "Balanced", E16), Stat_Matrix!$AG$2:$AP$6, 2, FALSE), 0)</f>
        <v>6662</v>
      </c>
      <c r="G16" s="42">
        <f>ROUND(VLOOKUP(C16, Stat_Matrix!$E$2:$N$7, 3, FALSE) * VLOOKUP(B16, Stat_Matrix!$A$2:$B$5, 2, FALSE) * VLOOKUP(IF(ISBLANK(D16), "Character", D16), Stat_Matrix!$AA$2:$AD$4, 3, FALSE) * VLOOKUP(IF(ISBLANK(E16), "Balanced", E16), Stat_Matrix!$AG$2:$AP$6, 3, FALSE), 0)</f>
        <v>3703</v>
      </c>
      <c r="H16" s="42">
        <f>ROUND(VLOOKUP(C16, Stat_Matrix!$E$2:$N$7, 4, FALSE) * VLOOKUP(B16, Stat_Matrix!$A$2:$B$5, 2, FALSE) * VLOOKUP(IF(ISBLANK(D16), "Character", D16), Stat_Matrix!$AA$2:$AD$4, 4, FALSE) * VLOOKUP(IF(ISBLANK(E16), "Balanced", E16), Stat_Matrix!$AG$2:$AP$6, 4, FALSE), 0)</f>
        <v>533</v>
      </c>
      <c r="I16" s="42">
        <f>VLOOKUP(C16, Stat_Matrix!$E$2:$N$7, 5, FALSE) + (VLOOKUP(B16, Stat_Matrix!$A$2:$C$5, 3, FALSE) * VLOOKUP(C16, Stat_Matrix!$P$2:$Y$7, 5, FALSE)) + VLOOKUP(IF(ISBLANK(E16), "Balanced", E16), Stat_Matrix!$AG$2:$AP$6, 5, FALSE)</f>
        <v>96</v>
      </c>
      <c r="J16" s="42">
        <f>VLOOKUP(C16, Stat_Matrix!$E$2:$N$7, 8, FALSE) + (VLOOKUP(B16, Stat_Matrix!$A$2:$C$5, 3, FALSE) * VLOOKUP(C16, Stat_Matrix!$P$2:$Y$7, 8, FALSE)) + VLOOKUP(IF(ISBLANK(E16), "Balanced", E16), Stat_Matrix!$AG$2:$AP$6, 8, FALSE)</f>
        <v>16</v>
      </c>
      <c r="K16" s="42">
        <v>60</v>
      </c>
      <c r="L16" s="42">
        <v>100</v>
      </c>
      <c r="M16">
        <v>20</v>
      </c>
      <c r="N16">
        <v>25</v>
      </c>
    </row>
    <row r="17" spans="1:14" x14ac:dyDescent="0.25">
      <c r="A17" s="22" t="s">
        <v>247</v>
      </c>
      <c r="B17" s="14" t="str">
        <f>Character!C17</f>
        <v>SSR</v>
      </c>
      <c r="C17" s="8" t="str">
        <f>Character!D17</f>
        <v>Fighter</v>
      </c>
      <c r="D17" s="7" t="str">
        <f>Character!E17</f>
        <v>Boss</v>
      </c>
      <c r="E17" s="42" t="s">
        <v>724</v>
      </c>
      <c r="F17" s="42">
        <v>11364</v>
      </c>
      <c r="G17" s="42">
        <v>3350</v>
      </c>
      <c r="H17" s="42">
        <v>530</v>
      </c>
      <c r="I17" s="42">
        <v>94</v>
      </c>
      <c r="J17" s="42">
        <v>14</v>
      </c>
      <c r="K17" s="42">
        <v>60</v>
      </c>
      <c r="L17" s="42">
        <v>100</v>
      </c>
      <c r="M17">
        <v>20</v>
      </c>
      <c r="N17">
        <v>25</v>
      </c>
    </row>
    <row r="18" spans="1:14" x14ac:dyDescent="0.25">
      <c r="A18" s="11" t="s">
        <v>676</v>
      </c>
      <c r="B18" s="17" t="str">
        <f>Character!C18</f>
        <v>R</v>
      </c>
      <c r="C18" s="8" t="str">
        <f>Character!D18</f>
        <v>Fighter</v>
      </c>
      <c r="D18" s="42" t="str">
        <f>Character!E18</f>
        <v>Creep</v>
      </c>
      <c r="E18" s="42" t="s">
        <v>725</v>
      </c>
      <c r="F18" s="42">
        <f>ROUND(VLOOKUP(C18, Stat_Matrix!$E$2:$N$7, 2, FALSE) * VLOOKUP(B18, Stat_Matrix!$A$2:$B$5, 2, FALSE) * VLOOKUP(IF(ISBLANK(D18), "Character", D18), Stat_Matrix!$AA$2:$AD$4, 2, FALSE) * VLOOKUP(IF(ISBLANK(E18), "Balanced", E18), Stat_Matrix!$AG$2:$AP$6, 2, FALSE), 0)</f>
        <v>2750</v>
      </c>
      <c r="G18" s="42">
        <f>ROUND(VLOOKUP(C18, Stat_Matrix!$E$2:$N$7, 3, FALSE) * VLOOKUP(B18, Stat_Matrix!$A$2:$B$5, 2, FALSE) * VLOOKUP(IF(ISBLANK(D18), "Character", D18), Stat_Matrix!$AA$2:$AD$4, 3, FALSE) * VLOOKUP(IF(ISBLANK(E18), "Balanced", E18), Stat_Matrix!$AG$2:$AP$6, 3, FALSE), 0)</f>
        <v>2310</v>
      </c>
      <c r="H18" s="42">
        <f>ROUND(VLOOKUP(C18, Stat_Matrix!$E$2:$N$7, 4, FALSE) * VLOOKUP(B18, Stat_Matrix!$A$2:$B$5, 2, FALSE) * VLOOKUP(IF(ISBLANK(D18), "Character", D18), Stat_Matrix!$AA$2:$AD$4, 4, FALSE) * VLOOKUP(IF(ISBLANK(E18), "Balanced", E18), Stat_Matrix!$AG$2:$AP$6, 4, FALSE), 0)</f>
        <v>330</v>
      </c>
      <c r="I18" s="42">
        <f>VLOOKUP(C18, Stat_Matrix!$E$2:$N$7, 5, FALSE) + (VLOOKUP(B18, Stat_Matrix!$A$2:$C$5, 3, FALSE) * VLOOKUP(C18, Stat_Matrix!$P$2:$Y$7, 5, FALSE)) + VLOOKUP(IF(ISBLANK(E18), "Balanced", E18), Stat_Matrix!$AG$2:$AP$6, 5, FALSE)</f>
        <v>90</v>
      </c>
      <c r="J18" s="42">
        <f>VLOOKUP(C18, Stat_Matrix!$E$2:$N$7, 8, FALSE) + (VLOOKUP(B18, Stat_Matrix!$A$2:$C$5, 3, FALSE) * VLOOKUP(C18, Stat_Matrix!$P$2:$Y$7, 8, FALSE)) + VLOOKUP(IF(ISBLANK(E18), "Balanced", E18), Stat_Matrix!$AG$2:$AP$6, 8, FALSE)</f>
        <v>5</v>
      </c>
      <c r="K18" s="42">
        <f>VLOOKUP(C18, Stat_Matrix!$E$2:$N$7, 6, FALSE) + (VLOOKUP(B18, Stat_Matrix!$A$2:$C$5, 3, FALSE) * VLOOKUP(C18, Stat_Matrix!$P$2:$Y$7, 6, FALSE)) + VLOOKUP(IF(ISBLANK(E18), "Balanced", E18), Stat_Matrix!$AG$2:$AP$6, 6, FALSE)</f>
        <v>5</v>
      </c>
      <c r="L18" s="42">
        <f>VLOOKUP(C18, Stat_Matrix!$E$2:$N$7, 7, FALSE) + (VLOOKUP(B18, Stat_Matrix!$A$2:$C$5, 3, FALSE) * VLOOKUP(C18, Stat_Matrix!$P$2:$Y$7, 7, FALSE)) + VLOOKUP(IF(ISBLANK(E18), "Balanced", E18), Stat_Matrix!$AG$2:$AP$6, 7, FALSE)</f>
        <v>5</v>
      </c>
      <c r="M18">
        <f>VLOOKUP(C18, Stat_Matrix!$E$2:$N$7, 9, FALSE) + (VLOOKUP(B18, Stat_Matrix!$A$2:$C$5, 3, FALSE) * VLOOKUP(C18, Stat_Matrix!$P$2:$Y$7, 9, FALSE)) + VLOOKUP(IF(ISBLANK(E18), "Balanced", E18), Stat_Matrix!$AG$2:$AP$6, 9, FALSE)</f>
        <v>2</v>
      </c>
      <c r="N18">
        <f>VLOOKUP(C18, Stat_Matrix!$E$2:$N$7, 10, FALSE) + (VLOOKUP(B18, Stat_Matrix!$A$2:$C$5, 3, FALSE) * VLOOKUP(C18, Stat_Matrix!$P$2:$Y$7, 10, FALSE) + VLOOKUP(IF(ISBLANK(D18), "Character", D18), Stat_Matrix!$AA$2:$AE$4, 5, FALSE) + VLOOKUP(IF(ISBLANK(E18), "Balanced", E18), Stat_Matrix!$AG$2:$AP$6, 10, FALSE))</f>
        <v>0</v>
      </c>
    </row>
    <row r="19" spans="1:14" x14ac:dyDescent="0.25">
      <c r="A19" s="11" t="s">
        <v>680</v>
      </c>
      <c r="B19" s="17" t="str">
        <f>Character!C19</f>
        <v>R</v>
      </c>
      <c r="C19" s="8" t="str">
        <f>Character!D19</f>
        <v>Fighter</v>
      </c>
      <c r="D19" s="42" t="str">
        <f>Character!E19</f>
        <v>Creep</v>
      </c>
      <c r="E19" s="42" t="s">
        <v>725</v>
      </c>
      <c r="F19" s="42">
        <f>ROUND(VLOOKUP(C19, Stat_Matrix!$E$2:$N$7, 2, FALSE) * VLOOKUP(B19, Stat_Matrix!$A$2:$B$5, 2, FALSE) * VLOOKUP(IF(ISBLANK(D19), "Character", D19), Stat_Matrix!$AA$2:$AD$4, 2, FALSE) * VLOOKUP(IF(ISBLANK(E19), "Balanced", E19), Stat_Matrix!$AG$2:$AP$6, 2, FALSE), 0)</f>
        <v>2750</v>
      </c>
      <c r="G19" s="42">
        <f>ROUND(VLOOKUP(C19, Stat_Matrix!$E$2:$N$7, 3, FALSE) * VLOOKUP(B19, Stat_Matrix!$A$2:$B$5, 2, FALSE) * VLOOKUP(IF(ISBLANK(D19), "Character", D19), Stat_Matrix!$AA$2:$AD$4, 3, FALSE) * VLOOKUP(IF(ISBLANK(E19), "Balanced", E19), Stat_Matrix!$AG$2:$AP$6, 3, FALSE), 0)</f>
        <v>2310</v>
      </c>
      <c r="H19" s="42">
        <f>ROUND(VLOOKUP(C19, Stat_Matrix!$E$2:$N$7, 4, FALSE) * VLOOKUP(B19, Stat_Matrix!$A$2:$B$5, 2, FALSE) * VLOOKUP(IF(ISBLANK(D19), "Character", D19), Stat_Matrix!$AA$2:$AD$4, 4, FALSE) * VLOOKUP(IF(ISBLANK(E19), "Balanced", E19), Stat_Matrix!$AG$2:$AP$6, 4, FALSE), 0)</f>
        <v>330</v>
      </c>
      <c r="I19" s="42">
        <f>VLOOKUP(C19, Stat_Matrix!$E$2:$N$7, 5, FALSE) + (VLOOKUP(B19, Stat_Matrix!$A$2:$C$5, 3, FALSE) * VLOOKUP(C19, Stat_Matrix!$P$2:$Y$7, 5, FALSE)) + VLOOKUP(IF(ISBLANK(E19), "Balanced", E19), Stat_Matrix!$AG$2:$AP$6, 5, FALSE)</f>
        <v>90</v>
      </c>
      <c r="J19" s="42">
        <f>VLOOKUP(C19, Stat_Matrix!$E$2:$N$7, 8, FALSE) + (VLOOKUP(B19, Stat_Matrix!$A$2:$C$5, 3, FALSE) * VLOOKUP(C19, Stat_Matrix!$P$2:$Y$7, 8, FALSE)) + VLOOKUP(IF(ISBLANK(E19), "Balanced", E19), Stat_Matrix!$AG$2:$AP$6, 8, FALSE)</f>
        <v>5</v>
      </c>
      <c r="K19" s="42">
        <f>VLOOKUP(C19, Stat_Matrix!$E$2:$N$7, 6, FALSE) + (VLOOKUP(B19, Stat_Matrix!$A$2:$C$5, 3, FALSE) * VLOOKUP(C19, Stat_Matrix!$P$2:$Y$7, 6, FALSE)) + VLOOKUP(IF(ISBLANK(E19), "Balanced", E19), Stat_Matrix!$AG$2:$AP$6, 6, FALSE)</f>
        <v>5</v>
      </c>
      <c r="L19" s="42">
        <f>VLOOKUP(C19, Stat_Matrix!$E$2:$N$7, 7, FALSE) + (VLOOKUP(B19, Stat_Matrix!$A$2:$C$5, 3, FALSE) * VLOOKUP(C19, Stat_Matrix!$P$2:$Y$7, 7, FALSE)) + VLOOKUP(IF(ISBLANK(E19), "Balanced", E19), Stat_Matrix!$AG$2:$AP$6, 7, FALSE)</f>
        <v>5</v>
      </c>
      <c r="M19">
        <f>VLOOKUP(C19, Stat_Matrix!$E$2:$N$7, 9, FALSE) + (VLOOKUP(B19, Stat_Matrix!$A$2:$C$5, 3, FALSE) * VLOOKUP(C19, Stat_Matrix!$P$2:$Y$7, 9, FALSE)) + VLOOKUP(IF(ISBLANK(E19), "Balanced", E19), Stat_Matrix!$AG$2:$AP$6, 9, FALSE)</f>
        <v>2</v>
      </c>
      <c r="N19">
        <f>VLOOKUP(C19, Stat_Matrix!$E$2:$N$7, 10, FALSE) + (VLOOKUP(B19, Stat_Matrix!$A$2:$C$5, 3, FALSE) * VLOOKUP(C19, Stat_Matrix!$P$2:$Y$7, 10, FALSE) + VLOOKUP(IF(ISBLANK(D19), "Character", D19), Stat_Matrix!$AA$2:$AE$4, 5, FALSE) + VLOOKUP(IF(ISBLANK(E19), "Balanced", E19), Stat_Matrix!$AG$2:$AP$6, 10, FALSE))</f>
        <v>0</v>
      </c>
    </row>
    <row r="20" spans="1:14" x14ac:dyDescent="0.25">
      <c r="A20" s="11" t="s">
        <v>683</v>
      </c>
      <c r="B20" s="17" t="str">
        <f>Character!C20</f>
        <v>R</v>
      </c>
      <c r="C20" s="8" t="str">
        <f>Character!D20</f>
        <v>Fighter</v>
      </c>
      <c r="D20" s="42" t="str">
        <f>Character!E20</f>
        <v>Creep</v>
      </c>
      <c r="E20" s="42" t="s">
        <v>725</v>
      </c>
      <c r="F20" s="42">
        <f>ROUND(VLOOKUP(C20, Stat_Matrix!$E$2:$N$7, 2, FALSE) * VLOOKUP(B20, Stat_Matrix!$A$2:$B$5, 2, FALSE) * VLOOKUP(IF(ISBLANK(D20), "Character", D20), Stat_Matrix!$AA$2:$AD$4, 2, FALSE) * VLOOKUP(IF(ISBLANK(E20), "Balanced", E20), Stat_Matrix!$AG$2:$AP$6, 2, FALSE), 0)</f>
        <v>2750</v>
      </c>
      <c r="G20" s="42">
        <f>ROUND(VLOOKUP(C20, Stat_Matrix!$E$2:$N$7, 3, FALSE) * VLOOKUP(B20, Stat_Matrix!$A$2:$B$5, 2, FALSE) * VLOOKUP(IF(ISBLANK(D20), "Character", D20), Stat_Matrix!$AA$2:$AD$4, 3, FALSE) * VLOOKUP(IF(ISBLANK(E20), "Balanced", E20), Stat_Matrix!$AG$2:$AP$6, 3, FALSE), 0)</f>
        <v>2310</v>
      </c>
      <c r="H20" s="42">
        <f>ROUND(VLOOKUP(C20, Stat_Matrix!$E$2:$N$7, 4, FALSE) * VLOOKUP(B20, Stat_Matrix!$A$2:$B$5, 2, FALSE) * VLOOKUP(IF(ISBLANK(D20), "Character", D20), Stat_Matrix!$AA$2:$AD$4, 4, FALSE) * VLOOKUP(IF(ISBLANK(E20), "Balanced", E20), Stat_Matrix!$AG$2:$AP$6, 4, FALSE), 0)</f>
        <v>330</v>
      </c>
      <c r="I20" s="42">
        <f>VLOOKUP(C20, Stat_Matrix!$E$2:$N$7, 5, FALSE) + (VLOOKUP(B20, Stat_Matrix!$A$2:$C$5, 3, FALSE) * VLOOKUP(C20, Stat_Matrix!$P$2:$Y$7, 5, FALSE)) + VLOOKUP(IF(ISBLANK(E20), "Balanced", E20), Stat_Matrix!$AG$2:$AP$6, 5, FALSE)</f>
        <v>90</v>
      </c>
      <c r="J20" s="42">
        <f>VLOOKUP(C20, Stat_Matrix!$E$2:$N$7, 8, FALSE) + (VLOOKUP(B20, Stat_Matrix!$A$2:$C$5, 3, FALSE) * VLOOKUP(C20, Stat_Matrix!$P$2:$Y$7, 8, FALSE)) + VLOOKUP(IF(ISBLANK(E20), "Balanced", E20), Stat_Matrix!$AG$2:$AP$6, 8, FALSE)</f>
        <v>5</v>
      </c>
      <c r="K20" s="42">
        <f>VLOOKUP(C20, Stat_Matrix!$E$2:$N$7, 6, FALSE) + (VLOOKUP(B20, Stat_Matrix!$A$2:$C$5, 3, FALSE) * VLOOKUP(C20, Stat_Matrix!$P$2:$Y$7, 6, FALSE)) + VLOOKUP(IF(ISBLANK(E20), "Balanced", E20), Stat_Matrix!$AG$2:$AP$6, 6, FALSE)</f>
        <v>5</v>
      </c>
      <c r="L20" s="42">
        <f>VLOOKUP(C20, Stat_Matrix!$E$2:$N$7, 7, FALSE) + (VLOOKUP(B20, Stat_Matrix!$A$2:$C$5, 3, FALSE) * VLOOKUP(C20, Stat_Matrix!$P$2:$Y$7, 7, FALSE)) + VLOOKUP(IF(ISBLANK(E20), "Balanced", E20), Stat_Matrix!$AG$2:$AP$6, 7, FALSE)</f>
        <v>5</v>
      </c>
      <c r="M20">
        <f>VLOOKUP(C20, Stat_Matrix!$E$2:$N$7, 9, FALSE) + (VLOOKUP(B20, Stat_Matrix!$A$2:$C$5, 3, FALSE) * VLOOKUP(C20, Stat_Matrix!$P$2:$Y$7, 9, FALSE)) + VLOOKUP(IF(ISBLANK(E20), "Balanced", E20), Stat_Matrix!$AG$2:$AP$6, 9, FALSE)</f>
        <v>2</v>
      </c>
      <c r="N20">
        <f>VLOOKUP(C20, Stat_Matrix!$E$2:$N$7, 10, FALSE) + (VLOOKUP(B20, Stat_Matrix!$A$2:$C$5, 3, FALSE) * VLOOKUP(C20, Stat_Matrix!$P$2:$Y$7, 10, FALSE) + VLOOKUP(IF(ISBLANK(D20), "Character", D20), Stat_Matrix!$AA$2:$AE$4, 5, FALSE) + VLOOKUP(IF(ISBLANK(E20), "Balanced", E20), Stat_Matrix!$AG$2:$AP$6, 10, FALSE))</f>
        <v>0</v>
      </c>
    </row>
    <row r="21" spans="1:14" x14ac:dyDescent="0.25">
      <c r="A21" s="11" t="s">
        <v>686</v>
      </c>
      <c r="B21" s="17" t="str">
        <f>Character!C21</f>
        <v>R</v>
      </c>
      <c r="C21" s="8" t="str">
        <f>Character!D21</f>
        <v>Fighter</v>
      </c>
      <c r="D21" s="42" t="str">
        <f>Character!E21</f>
        <v>Creep</v>
      </c>
      <c r="E21" s="42" t="s">
        <v>727</v>
      </c>
      <c r="F21" s="42">
        <f>ROUND(VLOOKUP(C21, Stat_Matrix!$E$2:$N$7, 2, FALSE) * VLOOKUP(B21, Stat_Matrix!$A$2:$B$5, 2, FALSE) * VLOOKUP(IF(ISBLANK(D21), "Character", D21), Stat_Matrix!$AA$2:$AD$4, 2, FALSE) * VLOOKUP(IF(ISBLANK(E21), "Balanced", E21), Stat_Matrix!$AG$2:$AP$6, 2, FALSE), 0)</f>
        <v>2613</v>
      </c>
      <c r="G21" s="42">
        <f>ROUND(VLOOKUP(C21, Stat_Matrix!$E$2:$N$7, 3, FALSE) * VLOOKUP(B21, Stat_Matrix!$A$2:$B$5, 2, FALSE) * VLOOKUP(IF(ISBLANK(D21), "Character", D21), Stat_Matrix!$AA$2:$AD$4, 3, FALSE) * VLOOKUP(IF(ISBLANK(E21), "Balanced", E21), Stat_Matrix!$AG$2:$AP$6, 3, FALSE), 0)</f>
        <v>2195</v>
      </c>
      <c r="H21" s="42">
        <f>ROUND(VLOOKUP(C21, Stat_Matrix!$E$2:$N$7, 4, FALSE) * VLOOKUP(B21, Stat_Matrix!$A$2:$B$5, 2, FALSE) * VLOOKUP(IF(ISBLANK(D21), "Character", D21), Stat_Matrix!$AA$2:$AD$4, 4, FALSE) * VLOOKUP(IF(ISBLANK(E21), "Balanced", E21), Stat_Matrix!$AG$2:$AP$6, 4, FALSE), 0)</f>
        <v>314</v>
      </c>
      <c r="I21" s="42">
        <f>VLOOKUP(C21, Stat_Matrix!$E$2:$N$7, 5, FALSE) + (VLOOKUP(B21, Stat_Matrix!$A$2:$C$5, 3, FALSE) * VLOOKUP(C21, Stat_Matrix!$P$2:$Y$7, 5, FALSE)) + VLOOKUP(IF(ISBLANK(E21), "Balanced", E21), Stat_Matrix!$AG$2:$AP$6, 5, FALSE)</f>
        <v>98</v>
      </c>
      <c r="J21" s="42">
        <f>VLOOKUP(C21, Stat_Matrix!$E$2:$N$7, 8, FALSE) + (VLOOKUP(B21, Stat_Matrix!$A$2:$C$5, 3, FALSE) * VLOOKUP(C21, Stat_Matrix!$P$2:$Y$7, 8, FALSE)) + VLOOKUP(IF(ISBLANK(E21), "Balanced", E21), Stat_Matrix!$AG$2:$AP$6, 8, FALSE)</f>
        <v>5</v>
      </c>
      <c r="K21" s="42">
        <f>VLOOKUP(C21, Stat_Matrix!$E$2:$N$7, 6, FALSE) + (VLOOKUP(B21, Stat_Matrix!$A$2:$C$5, 3, FALSE) * VLOOKUP(C21, Stat_Matrix!$P$2:$Y$7, 6, FALSE)) + VLOOKUP(IF(ISBLANK(E21), "Balanced", E21), Stat_Matrix!$AG$2:$AP$6, 6, FALSE)</f>
        <v>10</v>
      </c>
      <c r="L21" s="42">
        <f>VLOOKUP(C21, Stat_Matrix!$E$2:$N$7, 7, FALSE) + (VLOOKUP(B21, Stat_Matrix!$A$2:$C$5, 3, FALSE) * VLOOKUP(C21, Stat_Matrix!$P$2:$Y$7, 7, FALSE)) + VLOOKUP(IF(ISBLANK(E21), "Balanced", E21), Stat_Matrix!$AG$2:$AP$6, 7, FALSE)</f>
        <v>5</v>
      </c>
      <c r="M21">
        <f>VLOOKUP(C21, Stat_Matrix!$E$2:$N$7, 9, FALSE) + (VLOOKUP(B21, Stat_Matrix!$A$2:$C$5, 3, FALSE) * VLOOKUP(C21, Stat_Matrix!$P$2:$Y$7, 9, FALSE)) + VLOOKUP(IF(ISBLANK(E21), "Balanced", E21), Stat_Matrix!$AG$2:$AP$6, 9, FALSE)</f>
        <v>2</v>
      </c>
      <c r="N21">
        <f>VLOOKUP(C21, Stat_Matrix!$E$2:$N$7, 10, FALSE) + (VLOOKUP(B21, Stat_Matrix!$A$2:$C$5, 3, FALSE) * VLOOKUP(C21, Stat_Matrix!$P$2:$Y$7, 10, FALSE) + VLOOKUP(IF(ISBLANK(D21), "Character", D21), Stat_Matrix!$AA$2:$AE$4, 5, FALSE) + VLOOKUP(IF(ISBLANK(E21), "Balanced", E21), Stat_Matrix!$AG$2:$AP$6, 10, FALSE))</f>
        <v>0</v>
      </c>
    </row>
    <row r="22" spans="1:14" x14ac:dyDescent="0.25">
      <c r="A22" s="11" t="s">
        <v>689</v>
      </c>
      <c r="B22" s="17" t="str">
        <f>Character!C22</f>
        <v>R</v>
      </c>
      <c r="C22" s="8" t="str">
        <f>Character!D22</f>
        <v>Fighter</v>
      </c>
      <c r="D22" s="42" t="str">
        <f>Character!E22</f>
        <v>Creep</v>
      </c>
      <c r="E22" s="42" t="s">
        <v>726</v>
      </c>
      <c r="F22" s="42">
        <f>ROUND(VLOOKUP(C22, Stat_Matrix!$E$2:$N$7, 2, FALSE) * VLOOKUP(B22, Stat_Matrix!$A$2:$B$5, 2, FALSE) * VLOOKUP(IF(ISBLANK(D22), "Character", D22), Stat_Matrix!$AA$2:$AD$4, 2, FALSE) * VLOOKUP(IF(ISBLANK(E22), "Balanced", E22), Stat_Matrix!$AG$2:$AP$6, 2, FALSE), 0)</f>
        <v>3163</v>
      </c>
      <c r="G22" s="42">
        <f>ROUND(VLOOKUP(C22, Stat_Matrix!$E$2:$N$7, 3, FALSE) * VLOOKUP(B22, Stat_Matrix!$A$2:$B$5, 2, FALSE) * VLOOKUP(IF(ISBLANK(D22), "Character", D22), Stat_Matrix!$AA$2:$AD$4, 3, FALSE) * VLOOKUP(IF(ISBLANK(E22), "Balanced", E22), Stat_Matrix!$AG$2:$AP$6, 3, FALSE), 0)</f>
        <v>2079</v>
      </c>
      <c r="H22" s="42">
        <f>ROUND(VLOOKUP(C22, Stat_Matrix!$E$2:$N$7, 4, FALSE) * VLOOKUP(B22, Stat_Matrix!$A$2:$B$5, 2, FALSE) * VLOOKUP(IF(ISBLANK(D22), "Character", D22), Stat_Matrix!$AA$2:$AD$4, 4, FALSE) * VLOOKUP(IF(ISBLANK(E22), "Balanced", E22), Stat_Matrix!$AG$2:$AP$6, 4, FALSE), 0)</f>
        <v>363</v>
      </c>
      <c r="I22" s="42">
        <f>VLOOKUP(C22, Stat_Matrix!$E$2:$N$7, 5, FALSE) + (VLOOKUP(B22, Stat_Matrix!$A$2:$C$5, 3, FALSE) * VLOOKUP(C22, Stat_Matrix!$P$2:$Y$7, 5, FALSE)) + VLOOKUP(IF(ISBLANK(E22), "Balanced", E22), Stat_Matrix!$AG$2:$AP$6, 5, FALSE)</f>
        <v>90</v>
      </c>
      <c r="J22" s="42">
        <f>VLOOKUP(C22, Stat_Matrix!$E$2:$N$7, 8, FALSE) + (VLOOKUP(B22, Stat_Matrix!$A$2:$C$5, 3, FALSE) * VLOOKUP(C22, Stat_Matrix!$P$2:$Y$7, 8, FALSE)) + VLOOKUP(IF(ISBLANK(E22), "Balanced", E22), Stat_Matrix!$AG$2:$AP$6, 8, FALSE)</f>
        <v>5</v>
      </c>
      <c r="K22" s="42">
        <f>VLOOKUP(C22, Stat_Matrix!$E$2:$N$7, 6, FALSE) + (VLOOKUP(B22, Stat_Matrix!$A$2:$C$5, 3, FALSE) * VLOOKUP(C22, Stat_Matrix!$P$2:$Y$7, 6, FALSE)) + VLOOKUP(IF(ISBLANK(E22), "Balanced", E22), Stat_Matrix!$AG$2:$AP$6, 6, FALSE)</f>
        <v>5</v>
      </c>
      <c r="L22" s="42">
        <f>VLOOKUP(C22, Stat_Matrix!$E$2:$N$7, 7, FALSE) + (VLOOKUP(B22, Stat_Matrix!$A$2:$C$5, 3, FALSE) * VLOOKUP(C22, Stat_Matrix!$P$2:$Y$7, 7, FALSE)) + VLOOKUP(IF(ISBLANK(E22), "Balanced", E22), Stat_Matrix!$AG$2:$AP$6, 7, FALSE)</f>
        <v>5</v>
      </c>
      <c r="M22">
        <f>VLOOKUP(C22, Stat_Matrix!$E$2:$N$7, 9, FALSE) + (VLOOKUP(B22, Stat_Matrix!$A$2:$C$5, 3, FALSE) * VLOOKUP(C22, Stat_Matrix!$P$2:$Y$7, 9, FALSE)) + VLOOKUP(IF(ISBLANK(E22), "Balanced", E22), Stat_Matrix!$AG$2:$AP$6, 9, FALSE)</f>
        <v>2</v>
      </c>
      <c r="N22">
        <f>VLOOKUP(C22, Stat_Matrix!$E$2:$N$7, 10, FALSE) + (VLOOKUP(B22, Stat_Matrix!$A$2:$C$5, 3, FALSE) * VLOOKUP(C22, Stat_Matrix!$P$2:$Y$7, 10, FALSE) + VLOOKUP(IF(ISBLANK(D22), "Character", D22), Stat_Matrix!$AA$2:$AE$4, 5, FALSE) + VLOOKUP(IF(ISBLANK(E22), "Balanced", E22), Stat_Matrix!$AG$2:$AP$6, 10, FALSE))</f>
        <v>5</v>
      </c>
    </row>
    <row r="23" spans="1:14" x14ac:dyDescent="0.25">
      <c r="A23" s="11" t="s">
        <v>692</v>
      </c>
      <c r="B23" s="17" t="str">
        <f>Character!C23</f>
        <v>R</v>
      </c>
      <c r="C23" s="8" t="str">
        <f>Character!D23</f>
        <v>Fighter</v>
      </c>
      <c r="D23" s="42" t="str">
        <f>Character!E23</f>
        <v>Creep</v>
      </c>
      <c r="E23" s="42" t="s">
        <v>728</v>
      </c>
      <c r="F23" s="42">
        <f>ROUND(VLOOKUP(C23, Stat_Matrix!$E$2:$N$7, 2, FALSE) * VLOOKUP(B23, Stat_Matrix!$A$2:$B$5, 2, FALSE) * VLOOKUP(IF(ISBLANK(D23), "Character", D23), Stat_Matrix!$AA$2:$AD$4, 2, FALSE) * VLOOKUP(IF(ISBLANK(E23), "Balanced", E23), Stat_Matrix!$AG$2:$AP$6, 2, FALSE), 0)</f>
        <v>2750</v>
      </c>
      <c r="G23" s="42">
        <f>ROUND(VLOOKUP(C23, Stat_Matrix!$E$2:$N$7, 3, FALSE) * VLOOKUP(B23, Stat_Matrix!$A$2:$B$5, 2, FALSE) * VLOOKUP(IF(ISBLANK(D23), "Character", D23), Stat_Matrix!$AA$2:$AD$4, 3, FALSE) * VLOOKUP(IF(ISBLANK(E23), "Balanced", E23), Stat_Matrix!$AG$2:$AP$6, 3, FALSE), 0)</f>
        <v>2426</v>
      </c>
      <c r="H23" s="42">
        <f>ROUND(VLOOKUP(C23, Stat_Matrix!$E$2:$N$7, 4, FALSE) * VLOOKUP(B23, Stat_Matrix!$A$2:$B$5, 2, FALSE) * VLOOKUP(IF(ISBLANK(D23), "Character", D23), Stat_Matrix!$AA$2:$AD$4, 4, FALSE) * VLOOKUP(IF(ISBLANK(E23), "Balanced", E23), Stat_Matrix!$AG$2:$AP$6, 4, FALSE), 0)</f>
        <v>347</v>
      </c>
      <c r="I23" s="42">
        <f>VLOOKUP(C23, Stat_Matrix!$E$2:$N$7, 5, FALSE) + (VLOOKUP(B23, Stat_Matrix!$A$2:$C$5, 3, FALSE) * VLOOKUP(C23, Stat_Matrix!$P$2:$Y$7, 5, FALSE)) + VLOOKUP(IF(ISBLANK(E23), "Balanced", E23), Stat_Matrix!$AG$2:$AP$6, 5, FALSE)</f>
        <v>85</v>
      </c>
      <c r="J23" s="42">
        <f>VLOOKUP(C23, Stat_Matrix!$E$2:$N$7, 8, FALSE) + (VLOOKUP(B23, Stat_Matrix!$A$2:$C$5, 3, FALSE) * VLOOKUP(C23, Stat_Matrix!$P$2:$Y$7, 8, FALSE)) + VLOOKUP(IF(ISBLANK(E23), "Balanced", E23), Stat_Matrix!$AG$2:$AP$6, 8, FALSE)</f>
        <v>20</v>
      </c>
      <c r="K23" s="42">
        <f>VLOOKUP(C23, Stat_Matrix!$E$2:$N$7, 6, FALSE) + (VLOOKUP(B23, Stat_Matrix!$A$2:$C$5, 3, FALSE) * VLOOKUP(C23, Stat_Matrix!$P$2:$Y$7, 6, FALSE)) + VLOOKUP(IF(ISBLANK(E23), "Balanced", E23), Stat_Matrix!$AG$2:$AP$6, 6, FALSE)</f>
        <v>5</v>
      </c>
      <c r="L23" s="42">
        <f>VLOOKUP(C23, Stat_Matrix!$E$2:$N$7, 7, FALSE) + (VLOOKUP(B23, Stat_Matrix!$A$2:$C$5, 3, FALSE) * VLOOKUP(C23, Stat_Matrix!$P$2:$Y$7, 7, FALSE)) + VLOOKUP(IF(ISBLANK(E23), "Balanced", E23), Stat_Matrix!$AG$2:$AP$6, 7, FALSE)</f>
        <v>5</v>
      </c>
      <c r="M23">
        <f>VLOOKUP(C23, Stat_Matrix!$E$2:$N$7, 9, FALSE) + (VLOOKUP(B23, Stat_Matrix!$A$2:$C$5, 3, FALSE) * VLOOKUP(C23, Stat_Matrix!$P$2:$Y$7, 9, FALSE)) + VLOOKUP(IF(ISBLANK(E23), "Balanced", E23), Stat_Matrix!$AG$2:$AP$6, 9, FALSE)</f>
        <v>2</v>
      </c>
      <c r="N23">
        <f>VLOOKUP(C23, Stat_Matrix!$E$2:$N$7, 10, FALSE) + (VLOOKUP(B23, Stat_Matrix!$A$2:$C$5, 3, FALSE) * VLOOKUP(C23, Stat_Matrix!$P$2:$Y$7, 10, FALSE) + VLOOKUP(IF(ISBLANK(D23), "Character", D23), Stat_Matrix!$AA$2:$AE$4, 5, FALSE) + VLOOKUP(IF(ISBLANK(E23), "Balanced", E23), Stat_Matrix!$AG$2:$AP$6, 10, FALSE))</f>
        <v>0</v>
      </c>
    </row>
    <row r="24" spans="1:14" x14ac:dyDescent="0.25">
      <c r="A24" s="11" t="s">
        <v>695</v>
      </c>
      <c r="B24" s="17" t="str">
        <f>Character!C24</f>
        <v>R</v>
      </c>
      <c r="C24" s="8" t="str">
        <f>Character!D24</f>
        <v>Fighter</v>
      </c>
      <c r="D24" s="42" t="str">
        <f>Character!E24</f>
        <v>Creep</v>
      </c>
      <c r="E24" s="42" t="s">
        <v>725</v>
      </c>
      <c r="F24" s="42">
        <f>ROUND(VLOOKUP(C24, Stat_Matrix!$E$2:$N$7, 2, FALSE) * VLOOKUP(B24, Stat_Matrix!$A$2:$B$5, 2, FALSE) * VLOOKUP(IF(ISBLANK(D24), "Character", D24), Stat_Matrix!$AA$2:$AD$4, 2, FALSE) * VLOOKUP(IF(ISBLANK(E24), "Balanced", E24), Stat_Matrix!$AG$2:$AP$6, 2, FALSE), 0)</f>
        <v>2750</v>
      </c>
      <c r="G24" s="42">
        <f>ROUND(VLOOKUP(C24, Stat_Matrix!$E$2:$N$7, 3, FALSE) * VLOOKUP(B24, Stat_Matrix!$A$2:$B$5, 2, FALSE) * VLOOKUP(IF(ISBLANK(D24), "Character", D24), Stat_Matrix!$AA$2:$AD$4, 3, FALSE) * VLOOKUP(IF(ISBLANK(E24), "Balanced", E24), Stat_Matrix!$AG$2:$AP$6, 3, FALSE), 0)</f>
        <v>2310</v>
      </c>
      <c r="H24" s="42">
        <f>ROUND(VLOOKUP(C24, Stat_Matrix!$E$2:$N$7, 4, FALSE) * VLOOKUP(B24, Stat_Matrix!$A$2:$B$5, 2, FALSE) * VLOOKUP(IF(ISBLANK(D24), "Character", D24), Stat_Matrix!$AA$2:$AD$4, 4, FALSE) * VLOOKUP(IF(ISBLANK(E24), "Balanced", E24), Stat_Matrix!$AG$2:$AP$6, 4, FALSE), 0)</f>
        <v>330</v>
      </c>
      <c r="I24" s="42">
        <f>VLOOKUP(C24, Stat_Matrix!$E$2:$N$7, 5, FALSE) + (VLOOKUP(B24, Stat_Matrix!$A$2:$C$5, 3, FALSE) * VLOOKUP(C24, Stat_Matrix!$P$2:$Y$7, 5, FALSE)) + VLOOKUP(IF(ISBLANK(E24), "Balanced", E24), Stat_Matrix!$AG$2:$AP$6, 5, FALSE)</f>
        <v>90</v>
      </c>
      <c r="J24" s="42">
        <f>VLOOKUP(C24, Stat_Matrix!$E$2:$N$7, 8, FALSE) + (VLOOKUP(B24, Stat_Matrix!$A$2:$C$5, 3, FALSE) * VLOOKUP(C24, Stat_Matrix!$P$2:$Y$7, 8, FALSE)) + VLOOKUP(IF(ISBLANK(E24), "Balanced", E24), Stat_Matrix!$AG$2:$AP$6, 8, FALSE)</f>
        <v>5</v>
      </c>
      <c r="K24" s="42">
        <f>VLOOKUP(C24, Stat_Matrix!$E$2:$N$7, 6, FALSE) + (VLOOKUP(B24, Stat_Matrix!$A$2:$C$5, 3, FALSE) * VLOOKUP(C24, Stat_Matrix!$P$2:$Y$7, 6, FALSE)) + VLOOKUP(IF(ISBLANK(E24), "Balanced", E24), Stat_Matrix!$AG$2:$AP$6, 6, FALSE)</f>
        <v>5</v>
      </c>
      <c r="L24" s="42">
        <f>VLOOKUP(C24, Stat_Matrix!$E$2:$N$7, 7, FALSE) + (VLOOKUP(B24, Stat_Matrix!$A$2:$C$5, 3, FALSE) * VLOOKUP(C24, Stat_Matrix!$P$2:$Y$7, 7, FALSE)) + VLOOKUP(IF(ISBLANK(E24), "Balanced", E24), Stat_Matrix!$AG$2:$AP$6, 7, FALSE)</f>
        <v>5</v>
      </c>
      <c r="M24">
        <f>VLOOKUP(C24, Stat_Matrix!$E$2:$N$7, 9, FALSE) + (VLOOKUP(B24, Stat_Matrix!$A$2:$C$5, 3, FALSE) * VLOOKUP(C24, Stat_Matrix!$P$2:$Y$7, 9, FALSE)) + VLOOKUP(IF(ISBLANK(E24), "Balanced", E24), Stat_Matrix!$AG$2:$AP$6, 9, FALSE)</f>
        <v>2</v>
      </c>
      <c r="N24">
        <f>VLOOKUP(C24, Stat_Matrix!$E$2:$N$7, 10, FALSE) + (VLOOKUP(B24, Stat_Matrix!$A$2:$C$5, 3, FALSE) * VLOOKUP(C24, Stat_Matrix!$P$2:$Y$7, 10, FALSE) + VLOOKUP(IF(ISBLANK(D24), "Character", D24), Stat_Matrix!$AA$2:$AE$4, 5, FALSE) + VLOOKUP(IF(ISBLANK(E24), "Balanced", E24), Stat_Matrix!$AG$2:$AP$6, 10, FALSE))</f>
        <v>0</v>
      </c>
    </row>
    <row r="25" spans="1:14" x14ac:dyDescent="0.25">
      <c r="A25" s="11" t="s">
        <v>698</v>
      </c>
      <c r="B25" s="17" t="str">
        <f>Character!C25</f>
        <v>R</v>
      </c>
      <c r="C25" s="8" t="str">
        <f>Character!D25</f>
        <v>Fighter</v>
      </c>
      <c r="D25" s="42" t="str">
        <f>Character!E25</f>
        <v>Creep</v>
      </c>
      <c r="E25" s="42" t="s">
        <v>725</v>
      </c>
      <c r="F25" s="42">
        <f>ROUND(VLOOKUP(C25, Stat_Matrix!$E$2:$N$7, 2, FALSE) * VLOOKUP(B25, Stat_Matrix!$A$2:$B$5, 2, FALSE) * VLOOKUP(IF(ISBLANK(D25), "Character", D25), Stat_Matrix!$AA$2:$AD$4, 2, FALSE) * VLOOKUP(IF(ISBLANK(E25), "Balanced", E25), Stat_Matrix!$AG$2:$AP$6, 2, FALSE), 0)</f>
        <v>2750</v>
      </c>
      <c r="G25" s="42">
        <f>ROUND(VLOOKUP(C25, Stat_Matrix!$E$2:$N$7, 3, FALSE) * VLOOKUP(B25, Stat_Matrix!$A$2:$B$5, 2, FALSE) * VLOOKUP(IF(ISBLANK(D25), "Character", D25), Stat_Matrix!$AA$2:$AD$4, 3, FALSE) * VLOOKUP(IF(ISBLANK(E25), "Balanced", E25), Stat_Matrix!$AG$2:$AP$6, 3, FALSE), 0)</f>
        <v>2310</v>
      </c>
      <c r="H25" s="42">
        <f>ROUND(VLOOKUP(C25, Stat_Matrix!$E$2:$N$7, 4, FALSE) * VLOOKUP(B25, Stat_Matrix!$A$2:$B$5, 2, FALSE) * VLOOKUP(IF(ISBLANK(D25), "Character", D25), Stat_Matrix!$AA$2:$AD$4, 4, FALSE) * VLOOKUP(IF(ISBLANK(E25), "Balanced", E25), Stat_Matrix!$AG$2:$AP$6, 4, FALSE), 0)</f>
        <v>330</v>
      </c>
      <c r="I25" s="42">
        <f>VLOOKUP(C25, Stat_Matrix!$E$2:$N$7, 5, FALSE) + (VLOOKUP(B25, Stat_Matrix!$A$2:$C$5, 3, FALSE) * VLOOKUP(C25, Stat_Matrix!$P$2:$Y$7, 5, FALSE)) + VLOOKUP(IF(ISBLANK(E25), "Balanced", E25), Stat_Matrix!$AG$2:$AP$6, 5, FALSE)</f>
        <v>90</v>
      </c>
      <c r="J25" s="42">
        <f>VLOOKUP(C25, Stat_Matrix!$E$2:$N$7, 8, FALSE) + (VLOOKUP(B25, Stat_Matrix!$A$2:$C$5, 3, FALSE) * VLOOKUP(C25, Stat_Matrix!$P$2:$Y$7, 8, FALSE)) + VLOOKUP(IF(ISBLANK(E25), "Balanced", E25), Stat_Matrix!$AG$2:$AP$6, 8, FALSE)</f>
        <v>5</v>
      </c>
      <c r="K25" s="42">
        <f>VLOOKUP(C25, Stat_Matrix!$E$2:$N$7, 6, FALSE) + (VLOOKUP(B25, Stat_Matrix!$A$2:$C$5, 3, FALSE) * VLOOKUP(C25, Stat_Matrix!$P$2:$Y$7, 6, FALSE)) + VLOOKUP(IF(ISBLANK(E25), "Balanced", E25), Stat_Matrix!$AG$2:$AP$6, 6, FALSE)</f>
        <v>5</v>
      </c>
      <c r="L25" s="42">
        <f>VLOOKUP(C25, Stat_Matrix!$E$2:$N$7, 7, FALSE) + (VLOOKUP(B25, Stat_Matrix!$A$2:$C$5, 3, FALSE) * VLOOKUP(C25, Stat_Matrix!$P$2:$Y$7, 7, FALSE)) + VLOOKUP(IF(ISBLANK(E25), "Balanced", E25), Stat_Matrix!$AG$2:$AP$6, 7, FALSE)</f>
        <v>5</v>
      </c>
      <c r="M25">
        <f>VLOOKUP(C25, Stat_Matrix!$E$2:$N$7, 9, FALSE) + (VLOOKUP(B25, Stat_Matrix!$A$2:$C$5, 3, FALSE) * VLOOKUP(C25, Stat_Matrix!$P$2:$Y$7, 9, FALSE)) + VLOOKUP(IF(ISBLANK(E25), "Balanced", E25), Stat_Matrix!$AG$2:$AP$6, 9, FALSE)</f>
        <v>2</v>
      </c>
      <c r="N25">
        <f>VLOOKUP(C25, Stat_Matrix!$E$2:$N$7, 10, FALSE) + (VLOOKUP(B25, Stat_Matrix!$A$2:$C$5, 3, FALSE) * VLOOKUP(C25, Stat_Matrix!$P$2:$Y$7, 10, FALSE) + VLOOKUP(IF(ISBLANK(D25), "Character", D25), Stat_Matrix!$AA$2:$AE$4, 5, FALSE) + VLOOKUP(IF(ISBLANK(E25), "Balanced", E25), Stat_Matrix!$AG$2:$AP$6, 10, FALSE))</f>
        <v>0</v>
      </c>
    </row>
    <row r="26" spans="1:14" x14ac:dyDescent="0.25">
      <c r="A26" t="s">
        <v>235</v>
      </c>
      <c r="B26" s="14" t="str">
        <f>Character!C26</f>
        <v>SSR</v>
      </c>
      <c r="C26" s="39" t="str">
        <f>Character!D26</f>
        <v>Tanker</v>
      </c>
      <c r="D26" s="26" t="str">
        <f>Character!E26</f>
        <v>Character</v>
      </c>
      <c r="E26" s="42" t="s">
        <v>726</v>
      </c>
      <c r="F26" s="42">
        <f>ROUND(VLOOKUP(C26, Stat_Matrix!$E$2:$N$7, 2, FALSE) * VLOOKUP(B26, Stat_Matrix!$A$2:$B$5, 2, FALSE) * VLOOKUP(IF(ISBLANK(D26), "Character", D26), Stat_Matrix!$AA$2:$AD$4, 2, FALSE) * VLOOKUP(IF(ISBLANK(E26), "Balanced", E26), Stat_Matrix!$AG$2:$AP$6, 2, FALSE), 0)</f>
        <v>6670</v>
      </c>
      <c r="G26" s="42">
        <f>ROUND(VLOOKUP(C26, Stat_Matrix!$E$2:$N$7, 3, FALSE) * VLOOKUP(B26, Stat_Matrix!$A$2:$B$5, 2, FALSE) * VLOOKUP(IF(ISBLANK(D26), "Character", D26), Stat_Matrix!$AA$2:$AD$4, 3, FALSE) * VLOOKUP(IF(ISBLANK(E26), "Balanced", E26), Stat_Matrix!$AG$2:$AP$6, 3, FALSE), 0)</f>
        <v>1175</v>
      </c>
      <c r="H26" s="42">
        <f>ROUND(VLOOKUP(C26, Stat_Matrix!$E$2:$N$7, 4, FALSE) * VLOOKUP(B26, Stat_Matrix!$A$2:$B$5, 2, FALSE) * VLOOKUP(IF(ISBLANK(D26), "Character", D26), Stat_Matrix!$AA$2:$AD$4, 4, FALSE) * VLOOKUP(IF(ISBLANK(E26), "Balanced", E26), Stat_Matrix!$AG$2:$AP$6, 4, FALSE), 0)</f>
        <v>598</v>
      </c>
      <c r="I26" s="42">
        <f>VLOOKUP(C26, Stat_Matrix!$E$2:$N$7, 5, FALSE) + (VLOOKUP(B26, Stat_Matrix!$A$2:$C$5, 3, FALSE) * VLOOKUP(C26, Stat_Matrix!$P$2:$Y$7, 5, FALSE)) + VLOOKUP(IF(ISBLANK(E26), "Balanced", E26), Stat_Matrix!$AG$2:$AP$6, 5, FALSE)</f>
        <v>84</v>
      </c>
      <c r="J26" s="42">
        <f>VLOOKUP(C26, Stat_Matrix!$E$2:$N$7, 8, FALSE) + (VLOOKUP(B26, Stat_Matrix!$A$2:$C$5, 3, FALSE) * VLOOKUP(C26, Stat_Matrix!$P$2:$Y$7, 8, FALSE)) + VLOOKUP(IF(ISBLANK(E26), "Balanced", E26), Stat_Matrix!$AG$2:$AP$6, 8, FALSE)</f>
        <v>0</v>
      </c>
      <c r="K26" s="42">
        <f>VLOOKUP(C26, Stat_Matrix!$E$2:$N$7, 6, FALSE) + (VLOOKUP(B26, Stat_Matrix!$A$2:$C$5, 3, FALSE) * VLOOKUP(C26, Stat_Matrix!$P$2:$Y$7, 6, FALSE)) + VLOOKUP(IF(ISBLANK(E26), "Balanced", E26), Stat_Matrix!$AG$2:$AP$6, 6, FALSE)</f>
        <v>5</v>
      </c>
      <c r="L26" s="42">
        <f>VLOOKUP(C26, Stat_Matrix!$E$2:$N$7, 7, FALSE) + (VLOOKUP(B26, Stat_Matrix!$A$2:$C$5, 3, FALSE) * VLOOKUP(C26, Stat_Matrix!$P$2:$Y$7, 7, FALSE)) + VLOOKUP(IF(ISBLANK(E26), "Balanced", E26), Stat_Matrix!$AG$2:$AP$6, 7, FALSE)</f>
        <v>0</v>
      </c>
      <c r="M26">
        <f>VLOOKUP(C26, Stat_Matrix!$E$2:$N$7, 9, FALSE) + (VLOOKUP(B26, Stat_Matrix!$A$2:$C$5, 3, FALSE) * VLOOKUP(C26, Stat_Matrix!$P$2:$Y$7, 9, FALSE)) + VLOOKUP(IF(ISBLANK(E26), "Balanced", E26), Stat_Matrix!$AG$2:$AP$6, 9, FALSE)</f>
        <v>0</v>
      </c>
      <c r="N26">
        <f>VLOOKUP(C26, Stat_Matrix!$E$2:$N$7, 10, FALSE) + (VLOOKUP(B26, Stat_Matrix!$A$2:$C$5, 3, FALSE) * VLOOKUP(C26, Stat_Matrix!$P$2:$Y$7, 10, FALSE) + VLOOKUP(IF(ISBLANK(D26), "Character", D26), Stat_Matrix!$AA$2:$AE$4, 5, FALSE) + VLOOKUP(IF(ISBLANK(E26), "Balanced", E26), Stat_Matrix!$AG$2:$AP$6, 10, FALSE))</f>
        <v>14</v>
      </c>
    </row>
    <row r="27" spans="1:14" x14ac:dyDescent="0.25">
      <c r="A27" t="s">
        <v>704</v>
      </c>
      <c r="B27" s="14" t="str">
        <f>Character!C27</f>
        <v>SSR</v>
      </c>
      <c r="C27" s="39" t="str">
        <f>Character!D27</f>
        <v>Tanker</v>
      </c>
      <c r="D27" s="7" t="str">
        <f>Character!E27</f>
        <v>Boss</v>
      </c>
      <c r="E27" s="42" t="s">
        <v>728</v>
      </c>
      <c r="F27" s="42">
        <f>ROUND(VLOOKUP(C27, Stat_Matrix!$E$2:$N$7, 2, FALSE) * VLOOKUP(B27, Stat_Matrix!$A$2:$B$5, 2, FALSE) * VLOOKUP(IF(ISBLANK(D27), "Character", D27), Stat_Matrix!$AA$2:$AD$4, 2, FALSE) * VLOOKUP(IF(ISBLANK(E27), "Balanced", E27), Stat_Matrix!$AG$2:$AP$6, 2, FALSE), 0)</f>
        <v>8700</v>
      </c>
      <c r="G27" s="42">
        <f>ROUND(VLOOKUP(C27, Stat_Matrix!$E$2:$N$7, 3, FALSE) * VLOOKUP(B27, Stat_Matrix!$A$2:$B$5, 2, FALSE) * VLOOKUP(IF(ISBLANK(D27), "Character", D27), Stat_Matrix!$AA$2:$AD$4, 3, FALSE) * VLOOKUP(IF(ISBLANK(E27), "Balanced", E27), Stat_Matrix!$AG$2:$AP$6, 3, FALSE), 0)</f>
        <v>1644</v>
      </c>
      <c r="H27" s="42">
        <f>ROUND(VLOOKUP(C27, Stat_Matrix!$E$2:$N$7, 4, FALSE) * VLOOKUP(B27, Stat_Matrix!$A$2:$B$5, 2, FALSE) * VLOOKUP(IF(ISBLANK(D27), "Character", D27), Stat_Matrix!$AA$2:$AD$4, 4, FALSE) * VLOOKUP(IF(ISBLANK(E27), "Balanced", E27), Stat_Matrix!$AG$2:$AP$6, 4, FALSE), 0)</f>
        <v>685</v>
      </c>
      <c r="I27" s="42">
        <f>VLOOKUP(C27, Stat_Matrix!$E$2:$N$7, 5, FALSE) + (VLOOKUP(B27, Stat_Matrix!$A$2:$C$5, 3, FALSE) * VLOOKUP(C27, Stat_Matrix!$P$2:$Y$7, 5, FALSE)) + VLOOKUP(IF(ISBLANK(E27), "Balanced", E27), Stat_Matrix!$AG$2:$AP$6, 5, FALSE)</f>
        <v>79</v>
      </c>
      <c r="J27" s="42">
        <f>VLOOKUP(C27, Stat_Matrix!$E$2:$N$7, 8, FALSE) + (VLOOKUP(B27, Stat_Matrix!$A$2:$C$5, 3, FALSE) * VLOOKUP(C27, Stat_Matrix!$P$2:$Y$7, 8, FALSE)) + VLOOKUP(IF(ISBLANK(E27), "Balanced", E27), Stat_Matrix!$AG$2:$AP$6, 8, FALSE)</f>
        <v>15</v>
      </c>
      <c r="K27" s="42">
        <v>60</v>
      </c>
      <c r="L27" s="42">
        <v>100</v>
      </c>
      <c r="M27">
        <v>20</v>
      </c>
      <c r="N27">
        <v>25</v>
      </c>
    </row>
    <row r="28" spans="1:14" x14ac:dyDescent="0.25">
      <c r="A28" t="s">
        <v>709</v>
      </c>
      <c r="B28" s="14" t="str">
        <f>Character!C28</f>
        <v>SSR</v>
      </c>
      <c r="C28" s="25" t="str">
        <f>Character!D28</f>
        <v>Assassin</v>
      </c>
      <c r="D28" s="7" t="str">
        <f>Character!E28</f>
        <v>Boss</v>
      </c>
      <c r="E28" s="42" t="s">
        <v>724</v>
      </c>
      <c r="F28" s="42">
        <f>ROUND(VLOOKUP(C28, Stat_Matrix!$E$2:$N$7, 2, FALSE) * VLOOKUP(B28, Stat_Matrix!$A$2:$B$5, 2, FALSE) * VLOOKUP(IF(ISBLANK(D28), "Character", D28), Stat_Matrix!$AA$2:$AD$4, 2, FALSE) * VLOOKUP(IF(ISBLANK(E28), "Balanced", E28), Stat_Matrix!$AG$2:$AP$6, 2, FALSE), 0)</f>
        <v>4133</v>
      </c>
      <c r="G28" s="42">
        <f>ROUND(VLOOKUP(C28, Stat_Matrix!$E$2:$N$7, 3, FALSE) * VLOOKUP(B28, Stat_Matrix!$A$2:$B$5, 2, FALSE) * VLOOKUP(IF(ISBLANK(D28), "Character", D28), Stat_Matrix!$AA$2:$AD$4, 3, FALSE) * VLOOKUP(IF(ISBLANK(E28), "Balanced", E28), Stat_Matrix!$AG$2:$AP$6, 3, FALSE), 0)</f>
        <v>4307</v>
      </c>
      <c r="H28" s="42">
        <f>ROUND(VLOOKUP(C28, Stat_Matrix!$E$2:$N$7, 4, FALSE) * VLOOKUP(B28, Stat_Matrix!$A$2:$B$5, 2, FALSE) * VLOOKUP(IF(ISBLANK(D28), "Character", D28), Stat_Matrix!$AA$2:$AD$4, 4, FALSE) * VLOOKUP(IF(ISBLANK(E28), "Balanced", E28), Stat_Matrix!$AG$2:$AP$6, 4, FALSE), 0)</f>
        <v>331</v>
      </c>
      <c r="I28" s="42">
        <f>VLOOKUP(C28, Stat_Matrix!$E$2:$N$7, 5, FALSE) + (VLOOKUP(B28, Stat_Matrix!$A$2:$C$5, 3, FALSE) * VLOOKUP(C28, Stat_Matrix!$P$2:$Y$7, 5, FALSE)) + VLOOKUP(IF(ISBLANK(E28), "Balanced", E28), Stat_Matrix!$AG$2:$AP$6, 5, FALSE)</f>
        <v>111</v>
      </c>
      <c r="J28" s="42">
        <f>VLOOKUP(C28, Stat_Matrix!$E$2:$N$7, 8, FALSE) + (VLOOKUP(B28, Stat_Matrix!$A$2:$C$5, 3, FALSE) * VLOOKUP(C28, Stat_Matrix!$P$2:$Y$7, 8, FALSE)) + VLOOKUP(IF(ISBLANK(E28), "Balanced", E28), Stat_Matrix!$AG$2:$AP$6, 8, FALSE)</f>
        <v>21</v>
      </c>
      <c r="K28" s="42">
        <v>60</v>
      </c>
      <c r="L28" s="42">
        <v>100</v>
      </c>
      <c r="M28">
        <v>20</v>
      </c>
      <c r="N28">
        <v>25</v>
      </c>
    </row>
    <row r="29" spans="1:14" x14ac:dyDescent="0.25">
      <c r="A29" t="s">
        <v>710</v>
      </c>
      <c r="B29" s="2" t="str">
        <f>Character!C29</f>
        <v>SSR</v>
      </c>
      <c r="C29" s="39" t="str">
        <f>Character!D29</f>
        <v>Tanker</v>
      </c>
      <c r="D29" s="7" t="str">
        <f>Character!E29</f>
        <v>Boss</v>
      </c>
      <c r="E29" s="42" t="s">
        <v>726</v>
      </c>
      <c r="F29" s="42">
        <f>ROUND(VLOOKUP(C29, Stat_Matrix!$E$2:$N$7, 2, FALSE) * VLOOKUP(B29, Stat_Matrix!$A$2:$B$5, 2, FALSE) * VLOOKUP(IF(ISBLANK(D29), "Character", D29), Stat_Matrix!$AA$2:$AD$4, 2, FALSE) * VLOOKUP(IF(ISBLANK(E29), "Balanced", E29), Stat_Matrix!$AG$2:$AP$6, 2, FALSE), 0)</f>
        <v>10005</v>
      </c>
      <c r="G29" s="42">
        <f>ROUND(VLOOKUP(C29, Stat_Matrix!$E$2:$N$7, 3, FALSE) * VLOOKUP(B29, Stat_Matrix!$A$2:$B$5, 2, FALSE) * VLOOKUP(IF(ISBLANK(D29), "Character", D29), Stat_Matrix!$AA$2:$AD$4, 3, FALSE) * VLOOKUP(IF(ISBLANK(E29), "Balanced", E29), Stat_Matrix!$AG$2:$AP$6, 3, FALSE), 0)</f>
        <v>1409</v>
      </c>
      <c r="H29" s="42">
        <f>ROUND(VLOOKUP(C29, Stat_Matrix!$E$2:$N$7, 4, FALSE) * VLOOKUP(B29, Stat_Matrix!$A$2:$B$5, 2, FALSE) * VLOOKUP(IF(ISBLANK(D29), "Character", D29), Stat_Matrix!$AA$2:$AD$4, 4, FALSE) * VLOOKUP(IF(ISBLANK(E29), "Balanced", E29), Stat_Matrix!$AG$2:$AP$6, 4, FALSE), 0)</f>
        <v>718</v>
      </c>
      <c r="I29" s="42">
        <f>VLOOKUP(C29, Stat_Matrix!$E$2:$N$7, 5, FALSE) + (VLOOKUP(B29, Stat_Matrix!$A$2:$C$5, 3, FALSE) * VLOOKUP(C29, Stat_Matrix!$P$2:$Y$7, 5, FALSE)) + VLOOKUP(IF(ISBLANK(E29), "Balanced", E29), Stat_Matrix!$AG$2:$AP$6, 5, FALSE)</f>
        <v>84</v>
      </c>
      <c r="J29" s="42">
        <f>VLOOKUP(C29, Stat_Matrix!$E$2:$N$7, 8, FALSE) + (VLOOKUP(B29, Stat_Matrix!$A$2:$C$5, 3, FALSE) * VLOOKUP(C29, Stat_Matrix!$P$2:$Y$7, 8, FALSE)) + VLOOKUP(IF(ISBLANK(E29), "Balanced", E29), Stat_Matrix!$AG$2:$AP$6, 8, FALSE)</f>
        <v>0</v>
      </c>
      <c r="K29" s="42">
        <v>60</v>
      </c>
      <c r="L29" s="42">
        <v>100</v>
      </c>
      <c r="M29">
        <v>20</v>
      </c>
      <c r="N29">
        <v>25</v>
      </c>
    </row>
    <row r="30" spans="1:14" x14ac:dyDescent="0.25">
      <c r="A30" t="s">
        <v>711</v>
      </c>
      <c r="B30" s="2" t="str">
        <f>Character!C30</f>
        <v>UR</v>
      </c>
      <c r="C30" s="8" t="str">
        <f>Character!D30</f>
        <v>Fighter</v>
      </c>
      <c r="D30" s="7" t="str">
        <f>Character!E30</f>
        <v>Boss</v>
      </c>
      <c r="E30" s="42" t="s">
        <v>725</v>
      </c>
      <c r="F30" s="42">
        <f>ROUND(VLOOKUP(C30, Stat_Matrix!$E$2:$N$7, 2, FALSE) * VLOOKUP(B30, Stat_Matrix!$A$2:$B$5, 2, FALSE) * VLOOKUP(IF(ISBLANK(D30), "Character", D30), Stat_Matrix!$AA$2:$AD$4, 2, FALSE) * VLOOKUP(IF(ISBLANK(E30), "Balanced", E30), Stat_Matrix!$AG$2:$AP$6, 2, FALSE), 0)</f>
        <v>7013</v>
      </c>
      <c r="G30" s="42">
        <f>ROUND(VLOOKUP(C30, Stat_Matrix!$E$2:$N$7, 3, FALSE) * VLOOKUP(B30, Stat_Matrix!$A$2:$B$5, 2, FALSE) * VLOOKUP(IF(ISBLANK(D30), "Character", D30), Stat_Matrix!$AA$2:$AD$4, 3, FALSE) * VLOOKUP(IF(ISBLANK(E30), "Balanced", E30), Stat_Matrix!$AG$2:$AP$6, 3, FALSE), 0)</f>
        <v>3366</v>
      </c>
      <c r="H30" s="42">
        <f>ROUND(VLOOKUP(C30, Stat_Matrix!$E$2:$N$7, 4, FALSE) * VLOOKUP(B30, Stat_Matrix!$A$2:$B$5, 2, FALSE) * VLOOKUP(IF(ISBLANK(D30), "Character", D30), Stat_Matrix!$AA$2:$AD$4, 4, FALSE) * VLOOKUP(IF(ISBLANK(E30), "Balanced", E30), Stat_Matrix!$AG$2:$AP$6, 4, FALSE), 0)</f>
        <v>561</v>
      </c>
      <c r="I30" s="42">
        <f>VLOOKUP(C30, Stat_Matrix!$E$2:$N$7, 5, FALSE) + (VLOOKUP(B30, Stat_Matrix!$A$2:$C$5, 3, FALSE) * VLOOKUP(C30, Stat_Matrix!$P$2:$Y$7, 5, FALSE)) + VLOOKUP(IF(ISBLANK(E30), "Balanced", E30), Stat_Matrix!$AG$2:$AP$6, 5, FALSE)</f>
        <v>96</v>
      </c>
      <c r="J30" s="42">
        <f>VLOOKUP(C30, Stat_Matrix!$E$2:$N$7, 8, FALSE) + (VLOOKUP(B30, Stat_Matrix!$A$2:$C$5, 3, FALSE) * VLOOKUP(C30, Stat_Matrix!$P$2:$Y$7, 8, FALSE)) + VLOOKUP(IF(ISBLANK(E30), "Balanced", E30), Stat_Matrix!$AG$2:$AP$6, 8, FALSE)</f>
        <v>11</v>
      </c>
      <c r="K30" s="42">
        <v>60</v>
      </c>
      <c r="L30" s="42">
        <v>100</v>
      </c>
      <c r="M30">
        <v>20</v>
      </c>
      <c r="N30">
        <v>25</v>
      </c>
    </row>
    <row r="31" spans="1:14" x14ac:dyDescent="0.25">
      <c r="A31" t="s">
        <v>712</v>
      </c>
      <c r="B31" s="14" t="str">
        <f>Character!C31</f>
        <v>SSR</v>
      </c>
      <c r="C31" s="39" t="str">
        <f>Character!D31</f>
        <v>Tanker</v>
      </c>
      <c r="D31" s="7" t="str">
        <f>Character!E31</f>
        <v>Boss</v>
      </c>
      <c r="E31" s="42" t="s">
        <v>726</v>
      </c>
      <c r="F31" s="42">
        <f>ROUND(VLOOKUP(C31, Stat_Matrix!$E$2:$N$7, 2, FALSE) * VLOOKUP(B31, Stat_Matrix!$A$2:$B$5, 2, FALSE) * VLOOKUP(IF(ISBLANK(D31), "Character", D31), Stat_Matrix!$AA$2:$AD$4, 2, FALSE) * VLOOKUP(IF(ISBLANK(E31), "Balanced", E31), Stat_Matrix!$AG$2:$AP$6, 2, FALSE), 0)</f>
        <v>10005</v>
      </c>
      <c r="G31" s="42">
        <f>ROUND(VLOOKUP(C31, Stat_Matrix!$E$2:$N$7, 3, FALSE) * VLOOKUP(B31, Stat_Matrix!$A$2:$B$5, 2, FALSE) * VLOOKUP(IF(ISBLANK(D31), "Character", D31), Stat_Matrix!$AA$2:$AD$4, 3, FALSE) * VLOOKUP(IF(ISBLANK(E31), "Balanced", E31), Stat_Matrix!$AG$2:$AP$6, 3, FALSE), 0)</f>
        <v>1409</v>
      </c>
      <c r="H31" s="42">
        <f>ROUND(VLOOKUP(C31, Stat_Matrix!$E$2:$N$7, 4, FALSE) * VLOOKUP(B31, Stat_Matrix!$A$2:$B$5, 2, FALSE) * VLOOKUP(IF(ISBLANK(D31), "Character", D31), Stat_Matrix!$AA$2:$AD$4, 4, FALSE) * VLOOKUP(IF(ISBLANK(E31), "Balanced", E31), Stat_Matrix!$AG$2:$AP$6, 4, FALSE), 0)</f>
        <v>718</v>
      </c>
      <c r="I31" s="42">
        <f>VLOOKUP(C31, Stat_Matrix!$E$2:$N$7, 5, FALSE) + (VLOOKUP(B31, Stat_Matrix!$A$2:$C$5, 3, FALSE) * VLOOKUP(C31, Stat_Matrix!$P$2:$Y$7, 5, FALSE)) + VLOOKUP(IF(ISBLANK(E31), "Balanced", E31), Stat_Matrix!$AG$2:$AP$6, 5, FALSE)</f>
        <v>84</v>
      </c>
      <c r="J31" s="42">
        <f>VLOOKUP(C31, Stat_Matrix!$E$2:$N$7, 8, FALSE) + (VLOOKUP(B31, Stat_Matrix!$A$2:$C$5, 3, FALSE) * VLOOKUP(C31, Stat_Matrix!$P$2:$Y$7, 8, FALSE)) + VLOOKUP(IF(ISBLANK(E31), "Balanced", E31), Stat_Matrix!$AG$2:$AP$6, 8, FALSE)</f>
        <v>0</v>
      </c>
      <c r="K31" s="42">
        <v>60</v>
      </c>
      <c r="L31" s="42">
        <v>100</v>
      </c>
      <c r="M31">
        <v>20</v>
      </c>
      <c r="N31">
        <v>25</v>
      </c>
    </row>
    <row r="32" spans="1:14" x14ac:dyDescent="0.25">
      <c r="A32" t="s">
        <v>713</v>
      </c>
      <c r="B32" s="2" t="str">
        <f>Character!C32</f>
        <v>UR</v>
      </c>
      <c r="C32" s="8" t="str">
        <f>Character!D32</f>
        <v>Fighter</v>
      </c>
      <c r="D32" s="7" t="str">
        <f>Character!E32</f>
        <v>Boss</v>
      </c>
      <c r="E32" s="42" t="s">
        <v>725</v>
      </c>
      <c r="F32" s="42">
        <v>14500</v>
      </c>
      <c r="G32" s="42">
        <v>3600</v>
      </c>
      <c r="H32" s="42">
        <v>580</v>
      </c>
      <c r="I32" s="42">
        <v>98</v>
      </c>
      <c r="J32" s="42">
        <v>15</v>
      </c>
      <c r="K32" s="42">
        <v>60</v>
      </c>
      <c r="L32" s="42">
        <v>100</v>
      </c>
      <c r="M32">
        <v>20</v>
      </c>
      <c r="N32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opLeftCell="A27" zoomScale="130" zoomScaleNormal="130" workbookViewId="0">
      <selection activeCell="F31" sqref="F31"/>
    </sheetView>
  </sheetViews>
  <sheetFormatPr defaultRowHeight="15" x14ac:dyDescent="0.25"/>
  <cols>
    <col min="1" max="1" width="24.85546875" style="35" customWidth="1"/>
    <col min="2" max="2" width="29" style="35" customWidth="1"/>
    <col min="3" max="3" width="24.85546875" style="35" customWidth="1"/>
    <col min="4" max="4" width="17.85546875" style="35" customWidth="1"/>
    <col min="5" max="5" width="17.7109375" style="35" customWidth="1"/>
    <col min="6" max="6" width="23.42578125" style="35" customWidth="1"/>
    <col min="7" max="7" width="16.85546875" style="35" customWidth="1"/>
    <col min="8" max="8" width="16.5703125" style="35" customWidth="1"/>
    <col min="9" max="9" width="15.140625" style="35" bestFit="1" customWidth="1"/>
    <col min="10" max="10" width="26.42578125" style="35" customWidth="1"/>
    <col min="11" max="11" width="24.85546875" style="35" bestFit="1" customWidth="1"/>
  </cols>
  <sheetData>
    <row r="1" spans="1:11" x14ac:dyDescent="0.25">
      <c r="A1" s="16" t="s">
        <v>0</v>
      </c>
      <c r="B1" s="16" t="s">
        <v>1</v>
      </c>
      <c r="C1" s="16" t="s">
        <v>512</v>
      </c>
      <c r="D1" s="16" t="s">
        <v>334</v>
      </c>
      <c r="E1" s="16" t="s">
        <v>729</v>
      </c>
      <c r="F1" s="16" t="s">
        <v>730</v>
      </c>
      <c r="G1" s="16" t="s">
        <v>731</v>
      </c>
      <c r="H1" s="16" t="s">
        <v>732</v>
      </c>
      <c r="I1" s="16" t="s">
        <v>733</v>
      </c>
      <c r="J1" s="16" t="s">
        <v>734</v>
      </c>
      <c r="K1" s="16" t="s">
        <v>337</v>
      </c>
    </row>
    <row r="2" spans="1:11" x14ac:dyDescent="0.25">
      <c r="A2" t="s">
        <v>622</v>
      </c>
      <c r="B2" t="s">
        <v>735</v>
      </c>
      <c r="C2" t="s">
        <v>736</v>
      </c>
      <c r="D2" s="42" t="s">
        <v>737</v>
      </c>
      <c r="E2" s="42" t="s">
        <v>738</v>
      </c>
      <c r="F2" s="42" t="s">
        <v>739</v>
      </c>
      <c r="G2" s="42" t="s">
        <v>469</v>
      </c>
      <c r="H2" s="42" t="s">
        <v>740</v>
      </c>
      <c r="I2" s="36" t="s">
        <v>455</v>
      </c>
      <c r="J2" s="28" t="s">
        <v>741</v>
      </c>
      <c r="K2" s="42" t="s">
        <v>455</v>
      </c>
    </row>
    <row r="3" spans="1:11" x14ac:dyDescent="0.25">
      <c r="A3" t="s">
        <v>623</v>
      </c>
      <c r="B3" t="s">
        <v>742</v>
      </c>
      <c r="C3" t="s">
        <v>743</v>
      </c>
      <c r="D3" s="42" t="s">
        <v>744</v>
      </c>
      <c r="E3" s="42" t="s">
        <v>745</v>
      </c>
      <c r="F3" s="42" t="s">
        <v>746</v>
      </c>
      <c r="G3" s="42" t="s">
        <v>747</v>
      </c>
      <c r="H3" s="42" t="s">
        <v>748</v>
      </c>
      <c r="I3" s="36" t="s">
        <v>455</v>
      </c>
      <c r="J3" s="28" t="s">
        <v>749</v>
      </c>
      <c r="K3" s="41" t="s">
        <v>378</v>
      </c>
    </row>
    <row r="4" spans="1:11" x14ac:dyDescent="0.25">
      <c r="A4" t="s">
        <v>624</v>
      </c>
      <c r="B4" t="s">
        <v>750</v>
      </c>
      <c r="C4" t="s">
        <v>751</v>
      </c>
      <c r="D4" s="36" t="s">
        <v>752</v>
      </c>
      <c r="E4" s="42" t="s">
        <v>753</v>
      </c>
      <c r="F4" s="42" t="s">
        <v>754</v>
      </c>
      <c r="G4" s="42" t="s">
        <v>747</v>
      </c>
      <c r="H4" s="42" t="s">
        <v>740</v>
      </c>
      <c r="I4" s="36" t="s">
        <v>455</v>
      </c>
      <c r="J4" s="28" t="s">
        <v>755</v>
      </c>
      <c r="K4" s="42" t="s">
        <v>455</v>
      </c>
    </row>
    <row r="5" spans="1:11" x14ac:dyDescent="0.25">
      <c r="A5" s="10" t="s">
        <v>626</v>
      </c>
      <c r="B5" t="s">
        <v>756</v>
      </c>
      <c r="C5" t="s">
        <v>757</v>
      </c>
      <c r="D5" s="7" t="s">
        <v>758</v>
      </c>
      <c r="E5" s="42" t="s">
        <v>759</v>
      </c>
      <c r="F5" s="42" t="s">
        <v>739</v>
      </c>
      <c r="G5" s="42" t="s">
        <v>469</v>
      </c>
      <c r="H5" s="42" t="s">
        <v>740</v>
      </c>
      <c r="I5" s="36" t="s">
        <v>455</v>
      </c>
      <c r="J5" s="28" t="s">
        <v>760</v>
      </c>
      <c r="K5" s="42" t="s">
        <v>455</v>
      </c>
    </row>
    <row r="6" spans="1:11" x14ac:dyDescent="0.25">
      <c r="A6" s="10" t="s">
        <v>627</v>
      </c>
      <c r="B6" t="s">
        <v>761</v>
      </c>
      <c r="C6" t="s">
        <v>762</v>
      </c>
      <c r="D6" s="7" t="s">
        <v>763</v>
      </c>
      <c r="E6" s="42" t="s">
        <v>739</v>
      </c>
      <c r="F6" s="42" t="s">
        <v>746</v>
      </c>
      <c r="G6" t="s">
        <v>764</v>
      </c>
      <c r="H6" s="42" t="s">
        <v>765</v>
      </c>
      <c r="I6" s="36" t="s">
        <v>554</v>
      </c>
      <c r="J6" s="28" t="s">
        <v>766</v>
      </c>
      <c r="K6" s="42" t="s">
        <v>455</v>
      </c>
    </row>
    <row r="7" spans="1:11" x14ac:dyDescent="0.25">
      <c r="A7" s="10" t="s">
        <v>628</v>
      </c>
      <c r="B7" t="s">
        <v>767</v>
      </c>
      <c r="C7" t="s">
        <v>768</v>
      </c>
      <c r="D7" s="2" t="s">
        <v>752</v>
      </c>
      <c r="E7" s="42" t="s">
        <v>769</v>
      </c>
      <c r="F7" s="42" t="s">
        <v>754</v>
      </c>
      <c r="G7" s="42" t="s">
        <v>747</v>
      </c>
      <c r="H7" s="42" t="s">
        <v>740</v>
      </c>
      <c r="I7" t="s">
        <v>522</v>
      </c>
      <c r="J7" s="28" t="s">
        <v>770</v>
      </c>
      <c r="K7" s="42" t="s">
        <v>455</v>
      </c>
    </row>
    <row r="8" spans="1:11" x14ac:dyDescent="0.25">
      <c r="A8" t="s">
        <v>630</v>
      </c>
      <c r="B8" t="s">
        <v>771</v>
      </c>
      <c r="C8" s="10" t="s">
        <v>772</v>
      </c>
      <c r="D8" s="42" t="s">
        <v>737</v>
      </c>
      <c r="E8" s="42" t="s">
        <v>759</v>
      </c>
      <c r="F8" s="42" t="s">
        <v>739</v>
      </c>
      <c r="G8" s="42" t="s">
        <v>469</v>
      </c>
      <c r="H8" s="42" t="s">
        <v>740</v>
      </c>
      <c r="I8" s="36" t="s">
        <v>455</v>
      </c>
      <c r="J8" s="28" t="s">
        <v>773</v>
      </c>
      <c r="K8" s="42" t="s">
        <v>455</v>
      </c>
    </row>
    <row r="9" spans="1:11" x14ac:dyDescent="0.25">
      <c r="A9" t="s">
        <v>631</v>
      </c>
      <c r="B9" t="s">
        <v>774</v>
      </c>
      <c r="C9" s="10" t="s">
        <v>775</v>
      </c>
      <c r="D9" s="42" t="s">
        <v>776</v>
      </c>
      <c r="E9" s="42" t="s">
        <v>777</v>
      </c>
      <c r="F9" s="42" t="s">
        <v>746</v>
      </c>
      <c r="G9" t="s">
        <v>764</v>
      </c>
      <c r="H9" s="42" t="s">
        <v>778</v>
      </c>
      <c r="I9" s="36" t="s">
        <v>455</v>
      </c>
      <c r="J9" s="28" t="s">
        <v>779</v>
      </c>
      <c r="K9" s="42" t="s">
        <v>455</v>
      </c>
    </row>
    <row r="10" spans="1:11" x14ac:dyDescent="0.25">
      <c r="A10" t="s">
        <v>632</v>
      </c>
      <c r="B10" t="s">
        <v>780</v>
      </c>
      <c r="C10" s="10" t="s">
        <v>781</v>
      </c>
      <c r="D10" s="36" t="s">
        <v>752</v>
      </c>
      <c r="E10" s="42" t="s">
        <v>782</v>
      </c>
      <c r="F10" s="42" t="s">
        <v>754</v>
      </c>
      <c r="G10" s="42" t="s">
        <v>747</v>
      </c>
      <c r="H10" s="42" t="s">
        <v>740</v>
      </c>
      <c r="I10" s="36" t="s">
        <v>549</v>
      </c>
      <c r="J10" s="28" t="s">
        <v>783</v>
      </c>
      <c r="K10" s="42" t="s">
        <v>455</v>
      </c>
    </row>
    <row r="11" spans="1:11" x14ac:dyDescent="0.25">
      <c r="A11" s="10" t="s">
        <v>633</v>
      </c>
      <c r="B11" t="s">
        <v>784</v>
      </c>
      <c r="C11" t="s">
        <v>785</v>
      </c>
      <c r="D11" s="7" t="s">
        <v>737</v>
      </c>
      <c r="E11" s="42" t="s">
        <v>759</v>
      </c>
      <c r="F11" s="42" t="s">
        <v>739</v>
      </c>
      <c r="G11" s="42" t="s">
        <v>469</v>
      </c>
      <c r="H11" s="42" t="s">
        <v>740</v>
      </c>
      <c r="I11" s="36" t="s">
        <v>455</v>
      </c>
      <c r="J11" s="28" t="s">
        <v>786</v>
      </c>
      <c r="K11" s="42" t="s">
        <v>455</v>
      </c>
    </row>
    <row r="12" spans="1:11" x14ac:dyDescent="0.25">
      <c r="A12" s="10" t="s">
        <v>634</v>
      </c>
      <c r="B12" t="s">
        <v>787</v>
      </c>
      <c r="C12" t="s">
        <v>788</v>
      </c>
      <c r="D12" s="7" t="s">
        <v>789</v>
      </c>
      <c r="E12" s="42" t="s">
        <v>790</v>
      </c>
      <c r="F12" s="42" t="s">
        <v>746</v>
      </c>
      <c r="G12" t="s">
        <v>764</v>
      </c>
      <c r="H12" s="42" t="s">
        <v>778</v>
      </c>
      <c r="I12" t="s">
        <v>530</v>
      </c>
      <c r="J12" s="28" t="s">
        <v>791</v>
      </c>
      <c r="K12" s="42" t="s">
        <v>455</v>
      </c>
    </row>
    <row r="13" spans="1:11" x14ac:dyDescent="0.25">
      <c r="A13" s="10" t="s">
        <v>635</v>
      </c>
      <c r="B13" t="s">
        <v>792</v>
      </c>
      <c r="C13" t="s">
        <v>793</v>
      </c>
      <c r="D13" s="2" t="s">
        <v>752</v>
      </c>
      <c r="E13" s="42" t="s">
        <v>769</v>
      </c>
      <c r="F13" s="42" t="s">
        <v>754</v>
      </c>
      <c r="G13" s="42" t="s">
        <v>747</v>
      </c>
      <c r="H13" s="42" t="s">
        <v>740</v>
      </c>
      <c r="I13" s="36" t="s">
        <v>508</v>
      </c>
      <c r="J13" s="28" t="s">
        <v>794</v>
      </c>
      <c r="K13" s="42" t="s">
        <v>455</v>
      </c>
    </row>
    <row r="14" spans="1:11" x14ac:dyDescent="0.25">
      <c r="A14" s="23" t="s">
        <v>636</v>
      </c>
      <c r="B14" t="s">
        <v>795</v>
      </c>
      <c r="C14" s="23" t="s">
        <v>796</v>
      </c>
      <c r="D14" s="25" t="s">
        <v>737</v>
      </c>
      <c r="E14" s="42" t="s">
        <v>759</v>
      </c>
      <c r="F14" s="42" t="s">
        <v>739</v>
      </c>
      <c r="G14" s="42" t="s">
        <v>469</v>
      </c>
      <c r="H14" s="42" t="s">
        <v>740</v>
      </c>
      <c r="I14" s="36" t="s">
        <v>455</v>
      </c>
      <c r="K14" s="42" t="s">
        <v>455</v>
      </c>
    </row>
    <row r="15" spans="1:11" x14ac:dyDescent="0.25">
      <c r="A15" s="23" t="s">
        <v>637</v>
      </c>
      <c r="B15" t="s">
        <v>797</v>
      </c>
      <c r="C15" s="23" t="s">
        <v>798</v>
      </c>
      <c r="D15" s="25" t="s">
        <v>455</v>
      </c>
      <c r="E15" s="42" t="s">
        <v>790</v>
      </c>
      <c r="F15" s="42" t="s">
        <v>746</v>
      </c>
      <c r="G15" s="42" t="s">
        <v>747</v>
      </c>
      <c r="H15" s="42" t="s">
        <v>740</v>
      </c>
      <c r="I15" s="36" t="s">
        <v>455</v>
      </c>
      <c r="K15" s="42" t="s">
        <v>455</v>
      </c>
    </row>
    <row r="16" spans="1:11" x14ac:dyDescent="0.25">
      <c r="A16" s="23" t="s">
        <v>638</v>
      </c>
      <c r="B16" t="s">
        <v>799</v>
      </c>
      <c r="C16" s="23" t="s">
        <v>800</v>
      </c>
      <c r="D16" s="25" t="s">
        <v>455</v>
      </c>
      <c r="E16" s="42" t="s">
        <v>769</v>
      </c>
      <c r="F16" s="42" t="s">
        <v>754</v>
      </c>
      <c r="G16" s="42" t="s">
        <v>747</v>
      </c>
      <c r="H16" s="42" t="s">
        <v>740</v>
      </c>
      <c r="I16" s="36" t="s">
        <v>455</v>
      </c>
      <c r="K16" s="42" t="s">
        <v>455</v>
      </c>
    </row>
    <row r="17" spans="1:11" x14ac:dyDescent="0.25">
      <c r="A17" t="s">
        <v>640</v>
      </c>
      <c r="B17" t="s">
        <v>801</v>
      </c>
      <c r="C17" s="11" t="s">
        <v>802</v>
      </c>
      <c r="D17" s="42" t="s">
        <v>737</v>
      </c>
      <c r="E17" s="42" t="s">
        <v>738</v>
      </c>
      <c r="F17" s="42" t="s">
        <v>739</v>
      </c>
      <c r="G17" s="42" t="s">
        <v>469</v>
      </c>
      <c r="H17" s="42" t="s">
        <v>740</v>
      </c>
      <c r="I17" s="36" t="s">
        <v>455</v>
      </c>
      <c r="J17" t="s">
        <v>803</v>
      </c>
      <c r="K17" s="42" t="s">
        <v>455</v>
      </c>
    </row>
    <row r="18" spans="1:11" x14ac:dyDescent="0.25">
      <c r="A18" t="s">
        <v>641</v>
      </c>
      <c r="B18" t="s">
        <v>804</v>
      </c>
      <c r="C18" s="11" t="s">
        <v>805</v>
      </c>
      <c r="D18" s="42" t="s">
        <v>806</v>
      </c>
      <c r="E18" s="42" t="s">
        <v>807</v>
      </c>
      <c r="F18" s="42" t="s">
        <v>746</v>
      </c>
      <c r="G18" s="42" t="s">
        <v>747</v>
      </c>
      <c r="H18" s="42" t="s">
        <v>740</v>
      </c>
      <c r="I18" s="36" t="s">
        <v>455</v>
      </c>
      <c r="J18" t="s">
        <v>808</v>
      </c>
      <c r="K18" s="42" t="s">
        <v>455</v>
      </c>
    </row>
    <row r="19" spans="1:11" x14ac:dyDescent="0.25">
      <c r="A19" t="s">
        <v>642</v>
      </c>
      <c r="B19" t="s">
        <v>809</v>
      </c>
      <c r="C19" s="11" t="s">
        <v>810</v>
      </c>
      <c r="D19" s="36" t="s">
        <v>811</v>
      </c>
      <c r="E19" s="42" t="s">
        <v>782</v>
      </c>
      <c r="F19" s="42" t="s">
        <v>754</v>
      </c>
      <c r="G19" s="42" t="s">
        <v>747</v>
      </c>
      <c r="H19" s="42" t="s">
        <v>740</v>
      </c>
      <c r="I19" s="36" t="s">
        <v>455</v>
      </c>
      <c r="J19" t="s">
        <v>812</v>
      </c>
      <c r="K19" s="42" t="s">
        <v>402</v>
      </c>
    </row>
    <row r="20" spans="1:11" x14ac:dyDescent="0.25">
      <c r="A20" s="10" t="s">
        <v>643</v>
      </c>
      <c r="B20" t="s">
        <v>813</v>
      </c>
      <c r="C20" t="s">
        <v>814</v>
      </c>
      <c r="D20" s="7" t="s">
        <v>737</v>
      </c>
      <c r="E20" s="42" t="s">
        <v>759</v>
      </c>
      <c r="F20" s="42" t="s">
        <v>739</v>
      </c>
      <c r="G20" s="42" t="s">
        <v>469</v>
      </c>
      <c r="H20" s="42" t="s">
        <v>740</v>
      </c>
      <c r="I20" s="36" t="s">
        <v>455</v>
      </c>
      <c r="J20" t="s">
        <v>815</v>
      </c>
      <c r="K20" s="42" t="s">
        <v>455</v>
      </c>
    </row>
    <row r="21" spans="1:11" x14ac:dyDescent="0.25">
      <c r="A21" s="10" t="s">
        <v>644</v>
      </c>
      <c r="B21" t="s">
        <v>816</v>
      </c>
      <c r="C21" t="s">
        <v>817</v>
      </c>
      <c r="D21" s="7" t="s">
        <v>818</v>
      </c>
      <c r="E21" s="42" t="s">
        <v>790</v>
      </c>
      <c r="F21" s="42" t="s">
        <v>746</v>
      </c>
      <c r="G21" s="42" t="s">
        <v>747</v>
      </c>
      <c r="H21" s="42" t="s">
        <v>740</v>
      </c>
      <c r="I21" s="36" t="s">
        <v>553</v>
      </c>
      <c r="J21" t="s">
        <v>819</v>
      </c>
      <c r="K21" s="42" t="s">
        <v>455</v>
      </c>
    </row>
    <row r="22" spans="1:11" x14ac:dyDescent="0.25">
      <c r="A22" s="10" t="s">
        <v>645</v>
      </c>
      <c r="B22" t="s">
        <v>820</v>
      </c>
      <c r="C22" t="s">
        <v>821</v>
      </c>
      <c r="D22" s="2" t="s">
        <v>752</v>
      </c>
      <c r="E22" s="42" t="s">
        <v>769</v>
      </c>
      <c r="F22" s="42" t="s">
        <v>754</v>
      </c>
      <c r="G22" s="42" t="s">
        <v>747</v>
      </c>
      <c r="H22" s="42" t="s">
        <v>740</v>
      </c>
      <c r="I22" s="36" t="s">
        <v>455</v>
      </c>
      <c r="J22" t="s">
        <v>822</v>
      </c>
      <c r="K22" s="42" t="s">
        <v>455</v>
      </c>
    </row>
    <row r="23" spans="1:11" x14ac:dyDescent="0.25">
      <c r="A23" t="s">
        <v>646</v>
      </c>
      <c r="B23" t="s">
        <v>823</v>
      </c>
      <c r="C23" s="13" t="s">
        <v>824</v>
      </c>
      <c r="D23" s="42" t="s">
        <v>737</v>
      </c>
      <c r="E23" s="42" t="s">
        <v>825</v>
      </c>
      <c r="F23" s="42" t="s">
        <v>739</v>
      </c>
      <c r="G23" s="42" t="s">
        <v>469</v>
      </c>
      <c r="H23" s="42" t="s">
        <v>740</v>
      </c>
      <c r="I23" s="36" t="s">
        <v>455</v>
      </c>
      <c r="J23" t="s">
        <v>826</v>
      </c>
      <c r="K23" s="42" t="s">
        <v>397</v>
      </c>
    </row>
    <row r="24" spans="1:11" x14ac:dyDescent="0.25">
      <c r="A24" t="s">
        <v>647</v>
      </c>
      <c r="B24" t="s">
        <v>827</v>
      </c>
      <c r="C24" s="13" t="s">
        <v>828</v>
      </c>
      <c r="D24" s="42" t="s">
        <v>763</v>
      </c>
      <c r="E24" s="42" t="s">
        <v>829</v>
      </c>
      <c r="F24" s="42" t="s">
        <v>746</v>
      </c>
      <c r="G24" s="42" t="s">
        <v>747</v>
      </c>
      <c r="H24" s="42" t="s">
        <v>778</v>
      </c>
      <c r="I24" t="s">
        <v>547</v>
      </c>
      <c r="J24" s="42" t="s">
        <v>830</v>
      </c>
      <c r="K24" s="42" t="s">
        <v>455</v>
      </c>
    </row>
    <row r="25" spans="1:11" x14ac:dyDescent="0.25">
      <c r="A25" t="s">
        <v>648</v>
      </c>
      <c r="B25" t="s">
        <v>831</v>
      </c>
      <c r="C25" s="13" t="s">
        <v>832</v>
      </c>
      <c r="D25" s="36" t="s">
        <v>833</v>
      </c>
      <c r="E25" s="42" t="s">
        <v>834</v>
      </c>
      <c r="F25" s="42" t="s">
        <v>754</v>
      </c>
      <c r="G25" s="42" t="s">
        <v>747</v>
      </c>
      <c r="H25" s="42" t="s">
        <v>740</v>
      </c>
      <c r="I25" t="s">
        <v>548</v>
      </c>
      <c r="J25" s="42" t="s">
        <v>835</v>
      </c>
      <c r="K25" s="42" t="s">
        <v>455</v>
      </c>
    </row>
    <row r="26" spans="1:11" x14ac:dyDescent="0.25">
      <c r="A26" s="37" t="s">
        <v>649</v>
      </c>
      <c r="B26" t="s">
        <v>836</v>
      </c>
      <c r="C26" s="37" t="s">
        <v>837</v>
      </c>
      <c r="D26" s="25" t="s">
        <v>737</v>
      </c>
      <c r="E26" s="42" t="s">
        <v>738</v>
      </c>
      <c r="F26" s="42" t="s">
        <v>739</v>
      </c>
      <c r="G26" s="42" t="s">
        <v>469</v>
      </c>
      <c r="H26" s="42" t="s">
        <v>740</v>
      </c>
      <c r="I26" s="36" t="s">
        <v>455</v>
      </c>
      <c r="J26" s="42" t="s">
        <v>803</v>
      </c>
      <c r="K26" s="42" t="s">
        <v>455</v>
      </c>
    </row>
    <row r="27" spans="1:11" x14ac:dyDescent="0.25">
      <c r="A27" s="37" t="s">
        <v>650</v>
      </c>
      <c r="B27" t="s">
        <v>838</v>
      </c>
      <c r="C27" s="37" t="s">
        <v>839</v>
      </c>
      <c r="D27" s="42" t="s">
        <v>840</v>
      </c>
      <c r="E27" s="42" t="s">
        <v>841</v>
      </c>
      <c r="F27" s="42" t="s">
        <v>746</v>
      </c>
      <c r="G27" s="42" t="s">
        <v>747</v>
      </c>
      <c r="H27" s="42" t="s">
        <v>740</v>
      </c>
      <c r="I27" s="36" t="s">
        <v>455</v>
      </c>
      <c r="J27" s="42" t="s">
        <v>842</v>
      </c>
      <c r="K27" s="42" t="s">
        <v>384</v>
      </c>
    </row>
    <row r="28" spans="1:11" x14ac:dyDescent="0.25">
      <c r="A28" s="37" t="s">
        <v>651</v>
      </c>
      <c r="B28" t="s">
        <v>843</v>
      </c>
      <c r="C28" s="37" t="s">
        <v>844</v>
      </c>
      <c r="D28" s="36" t="s">
        <v>845</v>
      </c>
      <c r="E28" s="42" t="s">
        <v>825</v>
      </c>
      <c r="F28" s="42" t="s">
        <v>754</v>
      </c>
      <c r="G28" s="42" t="s">
        <v>747</v>
      </c>
      <c r="H28" s="42" t="s">
        <v>740</v>
      </c>
      <c r="I28" s="36" t="s">
        <v>455</v>
      </c>
      <c r="J28" s="42" t="s">
        <v>847</v>
      </c>
      <c r="K28" s="42" t="s">
        <v>393</v>
      </c>
    </row>
    <row r="29" spans="1:11" x14ac:dyDescent="0.25">
      <c r="A29" s="23" t="s">
        <v>654</v>
      </c>
      <c r="B29" t="s">
        <v>848</v>
      </c>
      <c r="C29" t="s">
        <v>849</v>
      </c>
      <c r="D29" s="25" t="s">
        <v>758</v>
      </c>
      <c r="E29" s="42" t="s">
        <v>759</v>
      </c>
      <c r="F29" s="42" t="s">
        <v>739</v>
      </c>
      <c r="G29" s="42" t="s">
        <v>469</v>
      </c>
      <c r="H29" s="42" t="s">
        <v>740</v>
      </c>
      <c r="I29" s="36" t="s">
        <v>455</v>
      </c>
      <c r="K29" s="42" t="s">
        <v>455</v>
      </c>
    </row>
    <row r="30" spans="1:11" x14ac:dyDescent="0.25">
      <c r="A30" s="23" t="s">
        <v>655</v>
      </c>
      <c r="B30" t="s">
        <v>850</v>
      </c>
      <c r="C30" t="s">
        <v>851</v>
      </c>
      <c r="D30" s="25" t="s">
        <v>455</v>
      </c>
      <c r="E30" s="42" t="s">
        <v>790</v>
      </c>
      <c r="F30" s="42" t="s">
        <v>746</v>
      </c>
      <c r="G30" s="42" t="s">
        <v>747</v>
      </c>
      <c r="H30" s="42" t="s">
        <v>740</v>
      </c>
      <c r="I30" s="36" t="s">
        <v>455</v>
      </c>
      <c r="K30" s="42" t="s">
        <v>455</v>
      </c>
    </row>
    <row r="31" spans="1:11" x14ac:dyDescent="0.25">
      <c r="A31" s="23" t="s">
        <v>656</v>
      </c>
      <c r="B31" t="s">
        <v>852</v>
      </c>
      <c r="C31" t="s">
        <v>853</v>
      </c>
      <c r="D31" s="25" t="s">
        <v>455</v>
      </c>
      <c r="E31" s="42" t="s">
        <v>769</v>
      </c>
      <c r="F31" s="42" t="s">
        <v>754</v>
      </c>
      <c r="G31" s="42" t="s">
        <v>747</v>
      </c>
      <c r="H31" s="42" t="s">
        <v>740</v>
      </c>
      <c r="I31" s="36" t="s">
        <v>455</v>
      </c>
      <c r="K31" s="42" t="s">
        <v>455</v>
      </c>
    </row>
    <row r="32" spans="1:11" x14ac:dyDescent="0.25">
      <c r="A32" s="11" t="s">
        <v>659</v>
      </c>
      <c r="B32" t="s">
        <v>854</v>
      </c>
      <c r="C32" t="s">
        <v>855</v>
      </c>
      <c r="D32" s="26" t="s">
        <v>737</v>
      </c>
      <c r="E32" s="42" t="s">
        <v>856</v>
      </c>
      <c r="F32" s="42" t="s">
        <v>739</v>
      </c>
      <c r="G32" s="42" t="s">
        <v>469</v>
      </c>
      <c r="H32" s="42" t="s">
        <v>740</v>
      </c>
      <c r="I32" s="36" t="s">
        <v>455</v>
      </c>
      <c r="J32" t="s">
        <v>826</v>
      </c>
      <c r="K32" s="42" t="s">
        <v>455</v>
      </c>
    </row>
    <row r="33" spans="1:11" x14ac:dyDescent="0.25">
      <c r="A33" s="10" t="s">
        <v>661</v>
      </c>
      <c r="B33" t="s">
        <v>857</v>
      </c>
      <c r="C33" t="s">
        <v>858</v>
      </c>
      <c r="D33" s="7" t="s">
        <v>737</v>
      </c>
      <c r="E33" s="42" t="s">
        <v>859</v>
      </c>
      <c r="F33" s="42" t="s">
        <v>739</v>
      </c>
      <c r="G33" s="42" t="s">
        <v>469</v>
      </c>
      <c r="H33" s="42" t="s">
        <v>740</v>
      </c>
      <c r="I33" s="36" t="s">
        <v>455</v>
      </c>
      <c r="J33" t="s">
        <v>860</v>
      </c>
      <c r="K33" s="42" t="s">
        <v>455</v>
      </c>
    </row>
    <row r="34" spans="1:11" x14ac:dyDescent="0.25">
      <c r="A34" s="10" t="s">
        <v>662</v>
      </c>
      <c r="B34" t="s">
        <v>861</v>
      </c>
      <c r="C34" t="s">
        <v>862</v>
      </c>
      <c r="D34" s="7" t="s">
        <v>863</v>
      </c>
      <c r="E34" s="42" t="s">
        <v>867</v>
      </c>
      <c r="F34" s="42" t="s">
        <v>746</v>
      </c>
      <c r="G34" s="42" t="s">
        <v>747</v>
      </c>
      <c r="H34" s="42" t="s">
        <v>740</v>
      </c>
      <c r="I34" s="36" t="s">
        <v>559</v>
      </c>
      <c r="J34" t="s">
        <v>864</v>
      </c>
      <c r="K34" s="42" t="s">
        <v>455</v>
      </c>
    </row>
    <row r="35" spans="1:11" x14ac:dyDescent="0.25">
      <c r="A35" s="10" t="s">
        <v>663</v>
      </c>
      <c r="B35" t="s">
        <v>865</v>
      </c>
      <c r="C35" t="s">
        <v>866</v>
      </c>
      <c r="D35" s="2" t="s">
        <v>752</v>
      </c>
      <c r="E35" s="42" t="s">
        <v>846</v>
      </c>
      <c r="F35" s="42" t="s">
        <v>754</v>
      </c>
      <c r="G35" s="42" t="s">
        <v>747</v>
      </c>
      <c r="H35" s="42" t="s">
        <v>740</v>
      </c>
      <c r="I35" s="36" t="s">
        <v>559</v>
      </c>
      <c r="J35" t="s">
        <v>868</v>
      </c>
      <c r="K35" s="42" t="s">
        <v>409</v>
      </c>
    </row>
    <row r="36" spans="1:11" x14ac:dyDescent="0.25">
      <c r="A36" t="s">
        <v>664</v>
      </c>
      <c r="B36" t="s">
        <v>869</v>
      </c>
      <c r="C36" t="s">
        <v>870</v>
      </c>
      <c r="D36" s="42" t="s">
        <v>737</v>
      </c>
      <c r="E36" s="42" t="s">
        <v>759</v>
      </c>
      <c r="F36" s="42" t="s">
        <v>739</v>
      </c>
      <c r="G36" s="42" t="s">
        <v>469</v>
      </c>
      <c r="H36" s="42" t="s">
        <v>740</v>
      </c>
      <c r="I36" s="36" t="s">
        <v>455</v>
      </c>
      <c r="J36" t="s">
        <v>871</v>
      </c>
      <c r="K36" s="42" t="s">
        <v>455</v>
      </c>
    </row>
    <row r="37" spans="1:11" x14ac:dyDescent="0.25">
      <c r="A37" t="s">
        <v>665</v>
      </c>
      <c r="B37" t="s">
        <v>872</v>
      </c>
      <c r="C37" t="s">
        <v>873</v>
      </c>
      <c r="D37" s="42" t="s">
        <v>840</v>
      </c>
      <c r="E37" s="42" t="s">
        <v>790</v>
      </c>
      <c r="F37" s="42" t="s">
        <v>746</v>
      </c>
      <c r="G37" s="42" t="s">
        <v>747</v>
      </c>
      <c r="H37" s="42" t="s">
        <v>740</v>
      </c>
      <c r="I37" s="36" t="s">
        <v>455</v>
      </c>
      <c r="J37" t="s">
        <v>874</v>
      </c>
      <c r="K37" s="42" t="s">
        <v>455</v>
      </c>
    </row>
    <row r="38" spans="1:11" x14ac:dyDescent="0.25">
      <c r="A38" t="s">
        <v>666</v>
      </c>
      <c r="B38" t="s">
        <v>875</v>
      </c>
      <c r="C38" t="s">
        <v>876</v>
      </c>
      <c r="D38" s="36" t="s">
        <v>752</v>
      </c>
      <c r="E38" s="42" t="s">
        <v>769</v>
      </c>
      <c r="F38" s="42" t="s">
        <v>754</v>
      </c>
      <c r="G38" s="42" t="s">
        <v>747</v>
      </c>
      <c r="H38" s="42" t="s">
        <v>740</v>
      </c>
      <c r="I38" s="36" t="s">
        <v>455</v>
      </c>
      <c r="J38" t="s">
        <v>877</v>
      </c>
      <c r="K38" s="42" t="s">
        <v>455</v>
      </c>
    </row>
    <row r="39" spans="1:11" x14ac:dyDescent="0.25">
      <c r="A39" s="10" t="s">
        <v>667</v>
      </c>
      <c r="B39" t="s">
        <v>878</v>
      </c>
      <c r="C39" t="s">
        <v>879</v>
      </c>
      <c r="D39" s="7" t="s">
        <v>737</v>
      </c>
      <c r="E39" s="42" t="s">
        <v>759</v>
      </c>
      <c r="F39" s="42" t="s">
        <v>739</v>
      </c>
      <c r="G39" s="42" t="s">
        <v>469</v>
      </c>
      <c r="H39" s="42" t="s">
        <v>740</v>
      </c>
      <c r="I39" s="36" t="s">
        <v>455</v>
      </c>
      <c r="J39" t="s">
        <v>880</v>
      </c>
      <c r="K39" s="42" t="s">
        <v>455</v>
      </c>
    </row>
    <row r="40" spans="1:11" x14ac:dyDescent="0.25">
      <c r="A40" s="10" t="s">
        <v>668</v>
      </c>
      <c r="B40" t="s">
        <v>881</v>
      </c>
      <c r="C40" t="s">
        <v>882</v>
      </c>
      <c r="D40" s="7" t="s">
        <v>883</v>
      </c>
      <c r="E40" s="42" t="s">
        <v>790</v>
      </c>
      <c r="F40" s="42" t="s">
        <v>746</v>
      </c>
      <c r="G40" s="42" t="s">
        <v>747</v>
      </c>
      <c r="H40" s="42" t="s">
        <v>740</v>
      </c>
      <c r="I40" s="36" t="s">
        <v>455</v>
      </c>
      <c r="J40" t="s">
        <v>884</v>
      </c>
      <c r="K40" s="42" t="s">
        <v>455</v>
      </c>
    </row>
    <row r="41" spans="1:11" x14ac:dyDescent="0.25">
      <c r="A41" s="10" t="s">
        <v>669</v>
      </c>
      <c r="B41" t="s">
        <v>885</v>
      </c>
      <c r="C41" t="s">
        <v>886</v>
      </c>
      <c r="D41" s="2" t="s">
        <v>752</v>
      </c>
      <c r="E41" s="42" t="s">
        <v>769</v>
      </c>
      <c r="F41" s="42" t="s">
        <v>754</v>
      </c>
      <c r="G41" s="42" t="s">
        <v>747</v>
      </c>
      <c r="H41" s="42" t="s">
        <v>740</v>
      </c>
      <c r="I41" s="36" t="s">
        <v>455</v>
      </c>
      <c r="J41" t="s">
        <v>877</v>
      </c>
      <c r="K41" s="42" t="s">
        <v>455</v>
      </c>
    </row>
    <row r="42" spans="1:11" x14ac:dyDescent="0.25">
      <c r="A42" t="s">
        <v>670</v>
      </c>
      <c r="B42" t="s">
        <v>887</v>
      </c>
      <c r="C42" t="s">
        <v>888</v>
      </c>
      <c r="D42" s="42" t="s">
        <v>737</v>
      </c>
      <c r="E42" s="42" t="s">
        <v>759</v>
      </c>
      <c r="F42" s="42" t="s">
        <v>739</v>
      </c>
      <c r="G42" s="42" t="s">
        <v>469</v>
      </c>
      <c r="H42" s="42" t="s">
        <v>740</v>
      </c>
      <c r="I42" s="36" t="s">
        <v>455</v>
      </c>
      <c r="J42" t="s">
        <v>889</v>
      </c>
      <c r="K42" s="42" t="s">
        <v>455</v>
      </c>
    </row>
    <row r="43" spans="1:11" x14ac:dyDescent="0.25">
      <c r="A43" t="s">
        <v>671</v>
      </c>
      <c r="B43" t="s">
        <v>890</v>
      </c>
      <c r="C43" t="s">
        <v>891</v>
      </c>
      <c r="D43" s="42" t="s">
        <v>892</v>
      </c>
      <c r="E43" s="42" t="s">
        <v>790</v>
      </c>
      <c r="F43" s="42" t="s">
        <v>746</v>
      </c>
      <c r="G43" s="42" t="s">
        <v>747</v>
      </c>
      <c r="H43" s="42" t="s">
        <v>740</v>
      </c>
      <c r="I43" s="36" t="s">
        <v>455</v>
      </c>
      <c r="J43" t="s">
        <v>893</v>
      </c>
      <c r="K43" s="42" t="s">
        <v>455</v>
      </c>
    </row>
    <row r="44" spans="1:11" x14ac:dyDescent="0.25">
      <c r="A44" t="s">
        <v>672</v>
      </c>
      <c r="B44" t="s">
        <v>894</v>
      </c>
      <c r="C44" t="s">
        <v>895</v>
      </c>
      <c r="D44" s="36" t="s">
        <v>896</v>
      </c>
      <c r="E44" s="42" t="s">
        <v>769</v>
      </c>
      <c r="F44" s="42" t="s">
        <v>754</v>
      </c>
      <c r="G44" s="42" t="s">
        <v>747</v>
      </c>
      <c r="H44" s="42" t="s">
        <v>740</v>
      </c>
      <c r="I44" s="36" t="s">
        <v>455</v>
      </c>
      <c r="J44" t="s">
        <v>897</v>
      </c>
      <c r="K44" s="42" t="s">
        <v>455</v>
      </c>
    </row>
    <row r="45" spans="1:11" x14ac:dyDescent="0.25">
      <c r="A45" s="10" t="s">
        <v>673</v>
      </c>
      <c r="B45" t="s">
        <v>898</v>
      </c>
      <c r="C45" t="s">
        <v>899</v>
      </c>
      <c r="D45" s="7" t="s">
        <v>737</v>
      </c>
      <c r="E45" s="42" t="s">
        <v>859</v>
      </c>
      <c r="F45" s="42" t="s">
        <v>739</v>
      </c>
      <c r="G45" s="42" t="s">
        <v>469</v>
      </c>
      <c r="H45" s="42" t="s">
        <v>740</v>
      </c>
      <c r="I45" s="36" t="s">
        <v>455</v>
      </c>
      <c r="J45" t="s">
        <v>900</v>
      </c>
      <c r="K45" s="42" t="s">
        <v>455</v>
      </c>
    </row>
    <row r="46" spans="1:11" x14ac:dyDescent="0.25">
      <c r="A46" s="10" t="s">
        <v>674</v>
      </c>
      <c r="B46" t="s">
        <v>901</v>
      </c>
      <c r="C46" t="s">
        <v>902</v>
      </c>
      <c r="D46" s="7" t="s">
        <v>840</v>
      </c>
      <c r="E46" s="42" t="s">
        <v>903</v>
      </c>
      <c r="F46" s="42" t="s">
        <v>904</v>
      </c>
      <c r="G46" s="42" t="s">
        <v>747</v>
      </c>
      <c r="H46" s="42" t="s">
        <v>905</v>
      </c>
      <c r="I46" s="36" t="s">
        <v>555</v>
      </c>
      <c r="J46" t="s">
        <v>906</v>
      </c>
      <c r="K46" s="42" t="s">
        <v>455</v>
      </c>
    </row>
    <row r="47" spans="1:11" x14ac:dyDescent="0.25">
      <c r="A47" s="10" t="s">
        <v>675</v>
      </c>
      <c r="B47" t="s">
        <v>907</v>
      </c>
      <c r="C47" t="s">
        <v>908</v>
      </c>
      <c r="D47" s="2" t="s">
        <v>752</v>
      </c>
      <c r="E47" s="42" t="s">
        <v>909</v>
      </c>
      <c r="F47" s="42" t="s">
        <v>910</v>
      </c>
      <c r="G47" s="42" t="s">
        <v>747</v>
      </c>
      <c r="H47" s="42" t="s">
        <v>740</v>
      </c>
      <c r="I47" t="s">
        <v>522</v>
      </c>
      <c r="J47" t="s">
        <v>911</v>
      </c>
      <c r="K47" s="42" t="s">
        <v>455</v>
      </c>
    </row>
    <row r="48" spans="1:11" x14ac:dyDescent="0.25">
      <c r="A48" s="27" t="s">
        <v>660</v>
      </c>
      <c r="B48" s="42" t="s">
        <v>912</v>
      </c>
      <c r="C48" s="42" t="s">
        <v>913</v>
      </c>
      <c r="D48" s="7" t="s">
        <v>455</v>
      </c>
      <c r="E48" s="42" t="s">
        <v>739</v>
      </c>
      <c r="F48" s="42" t="s">
        <v>739</v>
      </c>
      <c r="G48" t="s">
        <v>764</v>
      </c>
      <c r="H48" s="42" t="s">
        <v>740</v>
      </c>
      <c r="I48" s="36" t="s">
        <v>455</v>
      </c>
      <c r="K48" s="42" t="s">
        <v>455</v>
      </c>
    </row>
    <row r="49" spans="1:11" x14ac:dyDescent="0.25">
      <c r="A49" s="11" t="s">
        <v>679</v>
      </c>
      <c r="B49" t="s">
        <v>914</v>
      </c>
      <c r="C49" t="s">
        <v>915</v>
      </c>
      <c r="D49" s="26" t="s">
        <v>737</v>
      </c>
      <c r="E49" s="42" t="s">
        <v>856</v>
      </c>
      <c r="F49" s="42" t="s">
        <v>739</v>
      </c>
      <c r="G49" s="42" t="s">
        <v>469</v>
      </c>
      <c r="H49" s="42" t="s">
        <v>740</v>
      </c>
      <c r="I49" s="36" t="s">
        <v>455</v>
      </c>
      <c r="J49" t="s">
        <v>803</v>
      </c>
      <c r="K49" s="42" t="s">
        <v>455</v>
      </c>
    </row>
    <row r="50" spans="1:11" x14ac:dyDescent="0.25">
      <c r="A50" s="11" t="s">
        <v>682</v>
      </c>
      <c r="B50" t="s">
        <v>916</v>
      </c>
      <c r="C50" t="s">
        <v>917</v>
      </c>
      <c r="D50" s="26" t="s">
        <v>737</v>
      </c>
      <c r="E50" s="42" t="s">
        <v>856</v>
      </c>
      <c r="F50" s="42" t="s">
        <v>739</v>
      </c>
      <c r="G50" s="42" t="s">
        <v>469</v>
      </c>
      <c r="H50" s="42" t="s">
        <v>740</v>
      </c>
      <c r="I50" s="36" t="s">
        <v>455</v>
      </c>
      <c r="J50" t="s">
        <v>803</v>
      </c>
      <c r="K50" s="42" t="s">
        <v>455</v>
      </c>
    </row>
    <row r="51" spans="1:11" x14ac:dyDescent="0.25">
      <c r="A51" s="11" t="s">
        <v>685</v>
      </c>
      <c r="B51" t="s">
        <v>918</v>
      </c>
      <c r="C51" t="s">
        <v>919</v>
      </c>
      <c r="D51" s="26" t="s">
        <v>737</v>
      </c>
      <c r="E51" s="42" t="s">
        <v>856</v>
      </c>
      <c r="F51" s="42" t="s">
        <v>739</v>
      </c>
      <c r="G51" s="42" t="s">
        <v>469</v>
      </c>
      <c r="H51" s="42" t="s">
        <v>740</v>
      </c>
      <c r="I51" s="36" t="s">
        <v>455</v>
      </c>
      <c r="J51" t="s">
        <v>826</v>
      </c>
      <c r="K51" s="42" t="s">
        <v>455</v>
      </c>
    </row>
    <row r="52" spans="1:11" x14ac:dyDescent="0.25">
      <c r="A52" s="11" t="s">
        <v>688</v>
      </c>
      <c r="B52" t="s">
        <v>920</v>
      </c>
      <c r="C52" t="s">
        <v>921</v>
      </c>
      <c r="D52" s="26" t="s">
        <v>737</v>
      </c>
      <c r="E52" s="42" t="s">
        <v>856</v>
      </c>
      <c r="F52" s="42" t="s">
        <v>739</v>
      </c>
      <c r="G52" s="42" t="s">
        <v>469</v>
      </c>
      <c r="H52" s="42" t="s">
        <v>740</v>
      </c>
      <c r="I52" s="36" t="s">
        <v>455</v>
      </c>
      <c r="J52" t="s">
        <v>803</v>
      </c>
      <c r="K52" s="42" t="s">
        <v>455</v>
      </c>
    </row>
    <row r="53" spans="1:11" x14ac:dyDescent="0.25">
      <c r="A53" s="11" t="s">
        <v>691</v>
      </c>
      <c r="B53" t="s">
        <v>922</v>
      </c>
      <c r="C53" t="s">
        <v>923</v>
      </c>
      <c r="D53" s="26" t="s">
        <v>737</v>
      </c>
      <c r="E53" s="42" t="s">
        <v>856</v>
      </c>
      <c r="F53" s="42" t="s">
        <v>739</v>
      </c>
      <c r="G53" s="42" t="s">
        <v>469</v>
      </c>
      <c r="H53" s="42" t="s">
        <v>740</v>
      </c>
      <c r="I53" s="36" t="s">
        <v>455</v>
      </c>
      <c r="J53" t="s">
        <v>826</v>
      </c>
      <c r="K53" s="42" t="s">
        <v>455</v>
      </c>
    </row>
    <row r="54" spans="1:11" x14ac:dyDescent="0.25">
      <c r="A54" s="11" t="s">
        <v>694</v>
      </c>
      <c r="B54" t="s">
        <v>924</v>
      </c>
      <c r="C54" t="s">
        <v>925</v>
      </c>
      <c r="D54" s="26" t="s">
        <v>737</v>
      </c>
      <c r="E54" s="42" t="s">
        <v>856</v>
      </c>
      <c r="F54" s="42" t="s">
        <v>739</v>
      </c>
      <c r="G54" s="42" t="s">
        <v>469</v>
      </c>
      <c r="H54" s="42" t="s">
        <v>740</v>
      </c>
      <c r="I54" s="36" t="s">
        <v>455</v>
      </c>
      <c r="J54" t="s">
        <v>803</v>
      </c>
      <c r="K54" s="42" t="s">
        <v>455</v>
      </c>
    </row>
    <row r="55" spans="1:11" x14ac:dyDescent="0.25">
      <c r="A55" s="11" t="s">
        <v>697</v>
      </c>
      <c r="B55" t="s">
        <v>926</v>
      </c>
      <c r="C55" t="s">
        <v>927</v>
      </c>
      <c r="D55" s="26" t="s">
        <v>737</v>
      </c>
      <c r="E55" s="42" t="s">
        <v>856</v>
      </c>
      <c r="F55" s="42" t="s">
        <v>739</v>
      </c>
      <c r="G55" s="42" t="s">
        <v>469</v>
      </c>
      <c r="H55" s="42" t="s">
        <v>740</v>
      </c>
      <c r="I55" s="36" t="s">
        <v>455</v>
      </c>
      <c r="J55" t="s">
        <v>826</v>
      </c>
      <c r="K55" s="42" t="s">
        <v>455</v>
      </c>
    </row>
    <row r="56" spans="1:11" x14ac:dyDescent="0.25">
      <c r="A56" s="11" t="s">
        <v>700</v>
      </c>
      <c r="B56" t="s">
        <v>928</v>
      </c>
      <c r="C56" t="s">
        <v>929</v>
      </c>
      <c r="D56" s="26" t="s">
        <v>737</v>
      </c>
      <c r="E56" s="42" t="s">
        <v>856</v>
      </c>
      <c r="F56" s="42" t="s">
        <v>739</v>
      </c>
      <c r="G56" s="42" t="s">
        <v>469</v>
      </c>
      <c r="H56" s="42" t="s">
        <v>740</v>
      </c>
      <c r="I56" s="36" t="s">
        <v>455</v>
      </c>
      <c r="J56" t="s">
        <v>826</v>
      </c>
      <c r="K56" s="42" t="s">
        <v>455</v>
      </c>
    </row>
    <row r="57" spans="1:11" x14ac:dyDescent="0.25">
      <c r="A57" s="37" t="s">
        <v>701</v>
      </c>
      <c r="B57" t="s">
        <v>930</v>
      </c>
      <c r="C57" s="37" t="s">
        <v>931</v>
      </c>
      <c r="D57" s="7" t="s">
        <v>737</v>
      </c>
      <c r="E57" s="42" t="s">
        <v>825</v>
      </c>
      <c r="F57" s="42" t="s">
        <v>739</v>
      </c>
      <c r="G57" s="42" t="s">
        <v>469</v>
      </c>
      <c r="H57" s="42" t="s">
        <v>740</v>
      </c>
      <c r="I57" s="36" t="s">
        <v>455</v>
      </c>
      <c r="J57" s="28" t="s">
        <v>932</v>
      </c>
      <c r="K57" s="42" t="s">
        <v>387</v>
      </c>
    </row>
    <row r="58" spans="1:11" x14ac:dyDescent="0.25">
      <c r="A58" s="37" t="s">
        <v>702</v>
      </c>
      <c r="B58" t="s">
        <v>933</v>
      </c>
      <c r="C58" s="37" t="s">
        <v>934</v>
      </c>
      <c r="D58" s="7" t="s">
        <v>776</v>
      </c>
      <c r="E58" s="42" t="s">
        <v>935</v>
      </c>
      <c r="F58" s="42" t="s">
        <v>936</v>
      </c>
      <c r="G58" s="36" t="s">
        <v>764</v>
      </c>
      <c r="H58" s="42" t="s">
        <v>765</v>
      </c>
      <c r="I58" s="36" t="s">
        <v>455</v>
      </c>
      <c r="J58" s="28" t="s">
        <v>937</v>
      </c>
      <c r="K58" s="42" t="s">
        <v>455</v>
      </c>
    </row>
    <row r="59" spans="1:11" x14ac:dyDescent="0.25">
      <c r="A59" s="37" t="s">
        <v>703</v>
      </c>
      <c r="B59" t="s">
        <v>938</v>
      </c>
      <c r="C59" s="37" t="s">
        <v>939</v>
      </c>
      <c r="D59" s="36" t="s">
        <v>752</v>
      </c>
      <c r="E59" s="42" t="s">
        <v>940</v>
      </c>
      <c r="F59" s="42" t="s">
        <v>941</v>
      </c>
      <c r="G59" s="42" t="s">
        <v>747</v>
      </c>
      <c r="H59" s="42" t="s">
        <v>740</v>
      </c>
      <c r="I59" s="36" t="s">
        <v>455</v>
      </c>
      <c r="J59" s="28" t="s">
        <v>942</v>
      </c>
      <c r="K59" s="42" t="s">
        <v>390</v>
      </c>
    </row>
    <row r="60" spans="1:11" x14ac:dyDescent="0.25">
      <c r="A60" t="s">
        <v>706</v>
      </c>
      <c r="B60" t="s">
        <v>943</v>
      </c>
      <c r="C60" t="s">
        <v>944</v>
      </c>
      <c r="D60" s="42" t="s">
        <v>737</v>
      </c>
      <c r="E60" s="42" t="s">
        <v>759</v>
      </c>
      <c r="F60" s="42" t="s">
        <v>739</v>
      </c>
      <c r="G60" s="42" t="s">
        <v>469</v>
      </c>
      <c r="H60" s="42" t="s">
        <v>740</v>
      </c>
      <c r="I60" s="36" t="s">
        <v>455</v>
      </c>
      <c r="J60" s="28" t="s">
        <v>773</v>
      </c>
      <c r="K60" s="42" t="s">
        <v>455</v>
      </c>
    </row>
    <row r="61" spans="1:11" x14ac:dyDescent="0.25">
      <c r="A61" t="s">
        <v>707</v>
      </c>
      <c r="B61" t="s">
        <v>945</v>
      </c>
      <c r="C61" t="s">
        <v>946</v>
      </c>
      <c r="D61" s="42" t="s">
        <v>776</v>
      </c>
      <c r="E61" s="42" t="s">
        <v>777</v>
      </c>
      <c r="F61" s="42" t="s">
        <v>746</v>
      </c>
      <c r="G61" t="s">
        <v>764</v>
      </c>
      <c r="H61" s="42" t="s">
        <v>778</v>
      </c>
      <c r="I61" s="36" t="s">
        <v>455</v>
      </c>
      <c r="J61" s="28" t="s">
        <v>779</v>
      </c>
      <c r="K61" s="42" t="s">
        <v>455</v>
      </c>
    </row>
    <row r="62" spans="1:11" x14ac:dyDescent="0.25">
      <c r="A62" t="s">
        <v>708</v>
      </c>
      <c r="B62" t="s">
        <v>947</v>
      </c>
      <c r="C62" t="s">
        <v>948</v>
      </c>
      <c r="D62" s="36" t="s">
        <v>752</v>
      </c>
      <c r="E62" s="42" t="s">
        <v>782</v>
      </c>
      <c r="F62" s="42" t="s">
        <v>754</v>
      </c>
      <c r="G62" s="42" t="s">
        <v>747</v>
      </c>
      <c r="H62" s="42" t="s">
        <v>740</v>
      </c>
      <c r="I62" s="36" t="s">
        <v>549</v>
      </c>
      <c r="J62" s="28" t="s">
        <v>783</v>
      </c>
      <c r="K62" s="42" t="s">
        <v>455</v>
      </c>
    </row>
    <row r="63" spans="1:11" x14ac:dyDescent="0.25">
      <c r="A63" s="10" t="s">
        <v>715</v>
      </c>
      <c r="B63" t="s">
        <v>949</v>
      </c>
      <c r="C63" t="s">
        <v>950</v>
      </c>
      <c r="D63" s="42" t="s">
        <v>737</v>
      </c>
      <c r="E63" s="42" t="s">
        <v>951</v>
      </c>
      <c r="F63" s="42" t="s">
        <v>739</v>
      </c>
      <c r="G63" s="42" t="s">
        <v>469</v>
      </c>
      <c r="H63" s="42" t="s">
        <v>740</v>
      </c>
      <c r="I63" s="36" t="s">
        <v>455</v>
      </c>
      <c r="J63" s="28" t="s">
        <v>900</v>
      </c>
      <c r="K63" s="42" t="s">
        <v>455</v>
      </c>
    </row>
    <row r="64" spans="1:11" x14ac:dyDescent="0.25">
      <c r="A64" s="10" t="s">
        <v>716</v>
      </c>
      <c r="B64" t="s">
        <v>952</v>
      </c>
      <c r="C64" t="s">
        <v>953</v>
      </c>
      <c r="D64" s="42" t="s">
        <v>954</v>
      </c>
      <c r="E64" s="42" t="s">
        <v>867</v>
      </c>
      <c r="F64" s="42" t="s">
        <v>904</v>
      </c>
      <c r="G64" s="42" t="s">
        <v>747</v>
      </c>
      <c r="H64" s="42" t="s">
        <v>740</v>
      </c>
      <c r="I64" s="36" t="s">
        <v>508</v>
      </c>
      <c r="J64" s="28" t="s">
        <v>955</v>
      </c>
      <c r="K64" s="42" t="s">
        <v>406</v>
      </c>
    </row>
    <row r="65" spans="1:11" x14ac:dyDescent="0.25">
      <c r="A65" s="10" t="s">
        <v>717</v>
      </c>
      <c r="B65" t="s">
        <v>956</v>
      </c>
      <c r="C65" t="s">
        <v>957</v>
      </c>
      <c r="D65" s="36" t="s">
        <v>752</v>
      </c>
      <c r="E65" s="42" t="s">
        <v>909</v>
      </c>
      <c r="F65" s="42" t="s">
        <v>910</v>
      </c>
      <c r="G65" s="42" t="s">
        <v>747</v>
      </c>
      <c r="H65" s="42" t="s">
        <v>740</v>
      </c>
      <c r="I65" s="36" t="s">
        <v>543</v>
      </c>
      <c r="J65" t="s">
        <v>958</v>
      </c>
      <c r="K65" s="42" t="s">
        <v>455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J16" sqref="J16"/>
    </sheetView>
  </sheetViews>
  <sheetFormatPr defaultRowHeight="15" x14ac:dyDescent="0.25"/>
  <cols>
    <col min="1" max="1" width="22.140625" style="35" bestFit="1" customWidth="1"/>
  </cols>
  <sheetData>
    <row r="1" spans="1:4" x14ac:dyDescent="0.25">
      <c r="A1" s="40" t="s">
        <v>0</v>
      </c>
      <c r="B1" s="40" t="s">
        <v>571</v>
      </c>
      <c r="C1" s="40" t="s">
        <v>585</v>
      </c>
      <c r="D1" s="40" t="s">
        <v>583</v>
      </c>
    </row>
    <row r="2" spans="1:4" x14ac:dyDescent="0.25">
      <c r="A2" t="s">
        <v>215</v>
      </c>
      <c r="B2">
        <f>ROUND(CharacterStat!F2 * 0.05, 0)</f>
        <v>222</v>
      </c>
      <c r="C2">
        <f>ROUND(CharacterStat!G2 * 0.05, 0)</f>
        <v>154</v>
      </c>
      <c r="D2">
        <f>ROUND(CharacterStat!H2 * 0.05, 0)</f>
        <v>22</v>
      </c>
    </row>
    <row r="3" spans="1:4" x14ac:dyDescent="0.25">
      <c r="A3" t="s">
        <v>219</v>
      </c>
      <c r="B3">
        <f>ROUND(CharacterStat!F3 * 0.05, 0)</f>
        <v>113</v>
      </c>
      <c r="C3">
        <f>ROUND(CharacterStat!G3 * 0.05, 0)</f>
        <v>105</v>
      </c>
      <c r="D3">
        <f>ROUND(CharacterStat!H3 * 0.05, 0)</f>
        <v>11</v>
      </c>
    </row>
    <row r="4" spans="1:4" x14ac:dyDescent="0.25">
      <c r="A4" t="s">
        <v>221</v>
      </c>
      <c r="B4">
        <f>ROUND(CharacterStat!F4 * 0.05, 0)</f>
        <v>240</v>
      </c>
      <c r="C4">
        <f>ROUND(CharacterStat!G4 * 0.05, 0)</f>
        <v>54</v>
      </c>
      <c r="D4">
        <f>ROUND(CharacterStat!H4 * 0.05, 0)</f>
        <v>23</v>
      </c>
    </row>
    <row r="5" spans="1:4" x14ac:dyDescent="0.25">
      <c r="A5" t="s">
        <v>223</v>
      </c>
      <c r="B5">
        <f>ROUND(CharacterStat!F5 * 0.05, 0)</f>
        <v>276</v>
      </c>
      <c r="C5">
        <f>ROUND(CharacterStat!G5 * 0.05, 0)</f>
        <v>49</v>
      </c>
      <c r="D5">
        <f>ROUND(CharacterStat!H5 * 0.05, 0)</f>
        <v>25</v>
      </c>
    </row>
    <row r="6" spans="1:4" x14ac:dyDescent="0.25">
      <c r="A6" s="23" t="s">
        <v>225</v>
      </c>
      <c r="B6">
        <f>ROUND(CharacterStat!F6 * 0.05, 0)</f>
        <v>207</v>
      </c>
      <c r="C6">
        <f>ROUND(CharacterStat!G6 * 0.05, 0)</f>
        <v>57</v>
      </c>
      <c r="D6">
        <f>ROUND(CharacterStat!H6 * 0.05, 0)</f>
        <v>17</v>
      </c>
    </row>
    <row r="7" spans="1:4" x14ac:dyDescent="0.25">
      <c r="A7" t="s">
        <v>227</v>
      </c>
      <c r="B7">
        <f>ROUND(CharacterStat!F7 * 0.05, 0)</f>
        <v>138</v>
      </c>
      <c r="C7">
        <f>ROUND(CharacterStat!G7 * 0.05, 0)</f>
        <v>179</v>
      </c>
      <c r="D7">
        <f>ROUND(CharacterStat!H7 * 0.05, 0)</f>
        <v>14</v>
      </c>
    </row>
    <row r="8" spans="1:4" x14ac:dyDescent="0.25">
      <c r="A8" t="s">
        <v>229</v>
      </c>
      <c r="B8">
        <f>ROUND(CharacterStat!F8 * 0.05, 0)</f>
        <v>105</v>
      </c>
      <c r="C8">
        <f>ROUND(CharacterStat!G8 * 0.05, 0)</f>
        <v>105</v>
      </c>
      <c r="D8">
        <f>ROUND(CharacterStat!H8 * 0.05, 0)</f>
        <v>10</v>
      </c>
    </row>
    <row r="9" spans="1:4" x14ac:dyDescent="0.25">
      <c r="A9" t="s">
        <v>231</v>
      </c>
      <c r="B9">
        <f>ROUND(CharacterStat!F9 * 0.05, 0)</f>
        <v>334</v>
      </c>
      <c r="C9">
        <f>ROUND(CharacterStat!G9 * 0.05, 0)</f>
        <v>59</v>
      </c>
      <c r="D9">
        <f>ROUND(CharacterStat!H9 * 0.05, 0)</f>
        <v>30</v>
      </c>
    </row>
    <row r="10" spans="1:4" x14ac:dyDescent="0.25">
      <c r="A10" t="s">
        <v>233</v>
      </c>
      <c r="B10">
        <f>ROUND(CharacterStat!F10 * 0.05, 0)</f>
        <v>234</v>
      </c>
      <c r="C10">
        <f>ROUND(CharacterStat!G10 * 0.05, 0)</f>
        <v>140</v>
      </c>
      <c r="D10">
        <f>ROUND(CharacterStat!H10 * 0.05, 0)</f>
        <v>23</v>
      </c>
    </row>
    <row r="11" spans="1:4" x14ac:dyDescent="0.25">
      <c r="A11" s="23" t="s">
        <v>652</v>
      </c>
      <c r="B11">
        <f>ROUND(CharacterStat!F11 * 0.05, 0)</f>
        <v>191</v>
      </c>
      <c r="C11">
        <f>ROUND(CharacterStat!G11 * 0.05, 0)</f>
        <v>179</v>
      </c>
      <c r="D11">
        <f>ROUND(CharacterStat!H11 * 0.05, 0)</f>
        <v>18</v>
      </c>
    </row>
    <row r="12" spans="1:4" x14ac:dyDescent="0.25">
      <c r="A12" s="11" t="s">
        <v>657</v>
      </c>
      <c r="B12">
        <f>ROUND(CharacterStat!F12 * 0.05, 0)</f>
        <v>196</v>
      </c>
      <c r="C12">
        <f>ROUND(CharacterStat!G12 * 0.05, 0)</f>
        <v>109</v>
      </c>
      <c r="D12">
        <f>ROUND(CharacterStat!H12 * 0.05, 0)</f>
        <v>16</v>
      </c>
    </row>
    <row r="13" spans="1:4" x14ac:dyDescent="0.25">
      <c r="A13" s="22" t="s">
        <v>239</v>
      </c>
      <c r="B13">
        <f>ROUND(CharacterStat!F13 * 0.05, 0)</f>
        <v>255</v>
      </c>
      <c r="C13">
        <f>ROUND(CharacterStat!G13 * 0.05, 0)</f>
        <v>230</v>
      </c>
      <c r="D13">
        <f>ROUND(CharacterStat!H13 * 0.05, 0)</f>
        <v>20</v>
      </c>
    </row>
    <row r="14" spans="1:4" x14ac:dyDescent="0.25">
      <c r="A14" s="22" t="s">
        <v>241</v>
      </c>
      <c r="B14">
        <f>ROUND(CharacterStat!F14 * 0.05, 0)</f>
        <v>207</v>
      </c>
      <c r="C14">
        <f>ROUND(CharacterStat!G14 * 0.05, 0)</f>
        <v>215</v>
      </c>
      <c r="D14">
        <f>ROUND(CharacterStat!H14 * 0.05, 0)</f>
        <v>17</v>
      </c>
    </row>
    <row r="15" spans="1:4" x14ac:dyDescent="0.25">
      <c r="A15" s="22" t="s">
        <v>243</v>
      </c>
      <c r="B15">
        <f>ROUND(CharacterStat!F15 * 0.05, 0)</f>
        <v>207</v>
      </c>
      <c r="C15">
        <f>ROUND(CharacterStat!G15 * 0.05, 0)</f>
        <v>215</v>
      </c>
      <c r="D15">
        <f>ROUND(CharacterStat!H15 * 0.05, 0)</f>
        <v>17</v>
      </c>
    </row>
    <row r="16" spans="1:4" x14ac:dyDescent="0.25">
      <c r="A16" s="22" t="s">
        <v>245</v>
      </c>
      <c r="B16">
        <f>ROUND(CharacterStat!F16 * 0.05, 0)</f>
        <v>333</v>
      </c>
      <c r="C16">
        <f>ROUND(CharacterStat!G16 * 0.05, 0)</f>
        <v>185</v>
      </c>
      <c r="D16">
        <f>ROUND(CharacterStat!H16 * 0.05, 0)</f>
        <v>27</v>
      </c>
    </row>
    <row r="17" spans="1:4" x14ac:dyDescent="0.25">
      <c r="A17" s="22" t="s">
        <v>247</v>
      </c>
      <c r="B17">
        <v>568</v>
      </c>
      <c r="C17">
        <v>168</v>
      </c>
      <c r="D17">
        <v>26</v>
      </c>
    </row>
    <row r="18" spans="1:4" x14ac:dyDescent="0.25">
      <c r="A18" s="11" t="s">
        <v>676</v>
      </c>
      <c r="B18">
        <f>ROUND(CharacterStat!F18 * 0.05, 0)</f>
        <v>138</v>
      </c>
      <c r="C18">
        <f>ROUND(CharacterStat!G18 * 0.05, 0)</f>
        <v>116</v>
      </c>
      <c r="D18">
        <f>ROUND(CharacterStat!H18 * 0.05, 0)</f>
        <v>17</v>
      </c>
    </row>
    <row r="19" spans="1:4" x14ac:dyDescent="0.25">
      <c r="A19" s="11" t="s">
        <v>680</v>
      </c>
      <c r="B19">
        <f>ROUND(CharacterStat!F19 * 0.05, 0)</f>
        <v>138</v>
      </c>
      <c r="C19">
        <f>ROUND(CharacterStat!G19 * 0.05, 0)</f>
        <v>116</v>
      </c>
      <c r="D19">
        <f>ROUND(CharacterStat!H19 * 0.05, 0)</f>
        <v>17</v>
      </c>
    </row>
    <row r="20" spans="1:4" x14ac:dyDescent="0.25">
      <c r="A20" s="11" t="s">
        <v>683</v>
      </c>
      <c r="B20">
        <f>ROUND(CharacterStat!F20 * 0.05, 0)</f>
        <v>138</v>
      </c>
      <c r="C20">
        <f>ROUND(CharacterStat!G20 * 0.05, 0)</f>
        <v>116</v>
      </c>
      <c r="D20">
        <f>ROUND(CharacterStat!H20 * 0.05, 0)</f>
        <v>17</v>
      </c>
    </row>
    <row r="21" spans="1:4" x14ac:dyDescent="0.25">
      <c r="A21" s="11" t="s">
        <v>686</v>
      </c>
      <c r="B21">
        <f>ROUND(CharacterStat!F21 * 0.05, 0)</f>
        <v>131</v>
      </c>
      <c r="C21">
        <f>ROUND(CharacterStat!G21 * 0.05, 0)</f>
        <v>110</v>
      </c>
      <c r="D21">
        <f>ROUND(CharacterStat!H21 * 0.05, 0)</f>
        <v>16</v>
      </c>
    </row>
    <row r="22" spans="1:4" x14ac:dyDescent="0.25">
      <c r="A22" s="11" t="s">
        <v>689</v>
      </c>
      <c r="B22">
        <f>ROUND(CharacterStat!F22 * 0.05, 0)</f>
        <v>158</v>
      </c>
      <c r="C22">
        <f>ROUND(CharacterStat!G22 * 0.05, 0)</f>
        <v>104</v>
      </c>
      <c r="D22">
        <f>ROUND(CharacterStat!H22 * 0.05, 0)</f>
        <v>18</v>
      </c>
    </row>
    <row r="23" spans="1:4" x14ac:dyDescent="0.25">
      <c r="A23" s="11" t="s">
        <v>692</v>
      </c>
      <c r="B23">
        <f>ROUND(CharacterStat!F23 * 0.05, 0)</f>
        <v>138</v>
      </c>
      <c r="C23">
        <f>ROUND(CharacterStat!G23 * 0.05, 0)</f>
        <v>121</v>
      </c>
      <c r="D23">
        <f>ROUND(CharacterStat!H23 * 0.05, 0)</f>
        <v>17</v>
      </c>
    </row>
    <row r="24" spans="1:4" x14ac:dyDescent="0.25">
      <c r="A24" s="11" t="s">
        <v>695</v>
      </c>
      <c r="B24">
        <f>ROUND(CharacterStat!F24 * 0.05, 0)</f>
        <v>138</v>
      </c>
      <c r="C24">
        <f>ROUND(CharacterStat!G24 * 0.05, 0)</f>
        <v>116</v>
      </c>
      <c r="D24">
        <f>ROUND(CharacterStat!H24 * 0.05, 0)</f>
        <v>17</v>
      </c>
    </row>
    <row r="25" spans="1:4" x14ac:dyDescent="0.25">
      <c r="A25" s="11" t="s">
        <v>698</v>
      </c>
      <c r="B25">
        <f>ROUND(CharacterStat!F25 * 0.05, 0)</f>
        <v>138</v>
      </c>
      <c r="C25">
        <f>ROUND(CharacterStat!G25 * 0.05, 0)</f>
        <v>116</v>
      </c>
      <c r="D25">
        <f>ROUND(CharacterStat!H25 * 0.05, 0)</f>
        <v>17</v>
      </c>
    </row>
    <row r="26" spans="1:4" x14ac:dyDescent="0.25">
      <c r="A26" t="s">
        <v>235</v>
      </c>
      <c r="B26">
        <f>ROUND(CharacterStat!F26 * 0.05, 0)</f>
        <v>334</v>
      </c>
      <c r="C26">
        <f>ROUND(CharacterStat!G26 * 0.05, 0)</f>
        <v>59</v>
      </c>
      <c r="D26">
        <f>ROUND(CharacterStat!H26 * 0.05, 0)</f>
        <v>30</v>
      </c>
    </row>
    <row r="27" spans="1:4" x14ac:dyDescent="0.25">
      <c r="A27" t="s">
        <v>704</v>
      </c>
      <c r="B27">
        <f>ROUND(CharacterStat!F27 * 0.05, 0)</f>
        <v>435</v>
      </c>
      <c r="C27">
        <f>ROUND(CharacterStat!G27 * 0.05, 0)</f>
        <v>82</v>
      </c>
      <c r="D27">
        <f>ROUND(CharacterStat!H27 * 0.05, 0)</f>
        <v>34</v>
      </c>
    </row>
    <row r="28" spans="1:4" x14ac:dyDescent="0.25">
      <c r="A28" t="s">
        <v>709</v>
      </c>
      <c r="B28">
        <f>ROUND(CharacterStat!F28 * 0.05, 0)</f>
        <v>207</v>
      </c>
      <c r="C28">
        <f>ROUND(CharacterStat!G28 * 0.05, 0)</f>
        <v>215</v>
      </c>
      <c r="D28">
        <f>ROUND(CharacterStat!H28 * 0.05, 0)</f>
        <v>17</v>
      </c>
    </row>
    <row r="29" spans="1:4" x14ac:dyDescent="0.25">
      <c r="A29" t="s">
        <v>710</v>
      </c>
      <c r="B29">
        <f>ROUND(CharacterStat!F29 * 0.05, 0)</f>
        <v>500</v>
      </c>
      <c r="C29">
        <f>ROUND(CharacterStat!G29 * 0.05, 0)</f>
        <v>70</v>
      </c>
      <c r="D29">
        <f>ROUND(CharacterStat!H29 * 0.05, 0)</f>
        <v>36</v>
      </c>
    </row>
    <row r="30" spans="1:4" x14ac:dyDescent="0.25">
      <c r="A30" t="s">
        <v>711</v>
      </c>
      <c r="B30">
        <f>ROUND(CharacterStat!F30 * 0.05, 0)</f>
        <v>351</v>
      </c>
      <c r="C30">
        <f>ROUND(CharacterStat!G30 * 0.05, 0)</f>
        <v>168</v>
      </c>
      <c r="D30">
        <f>ROUND(CharacterStat!H30 * 0.05, 0)</f>
        <v>28</v>
      </c>
    </row>
    <row r="31" spans="1:4" x14ac:dyDescent="0.25">
      <c r="A31" t="s">
        <v>712</v>
      </c>
      <c r="B31">
        <f>ROUND(CharacterStat!F31 * 0.05, 0)</f>
        <v>500</v>
      </c>
      <c r="C31">
        <f>ROUND(CharacterStat!G31 * 0.05, 0)</f>
        <v>70</v>
      </c>
      <c r="D31">
        <f>ROUND(CharacterStat!H31 * 0.05, 0)</f>
        <v>36</v>
      </c>
    </row>
    <row r="32" spans="1:4" x14ac:dyDescent="0.25">
      <c r="A32" t="s">
        <v>713</v>
      </c>
      <c r="B32">
        <v>725</v>
      </c>
      <c r="C32">
        <v>180</v>
      </c>
      <c r="D32">
        <v>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A15" sqref="A15"/>
    </sheetView>
  </sheetViews>
  <sheetFormatPr defaultRowHeight="15" x14ac:dyDescent="0.25"/>
  <cols>
    <col min="1" max="1" width="21.140625" style="35" bestFit="1" customWidth="1"/>
    <col min="4" max="4" width="13.5703125" style="35" bestFit="1" customWidth="1"/>
    <col min="6" max="6" width="15.140625" style="35" customWidth="1"/>
  </cols>
  <sheetData>
    <row r="1" spans="1:6" x14ac:dyDescent="0.25">
      <c r="A1" s="16" t="s">
        <v>0</v>
      </c>
      <c r="B1" s="16" t="s">
        <v>25</v>
      </c>
      <c r="C1" s="16" t="s">
        <v>334</v>
      </c>
      <c r="D1" s="16" t="s">
        <v>959</v>
      </c>
      <c r="E1" s="16" t="s">
        <v>960</v>
      </c>
      <c r="F1" s="16" t="s">
        <v>961</v>
      </c>
    </row>
    <row r="2" spans="1:6" x14ac:dyDescent="0.25">
      <c r="A2" t="s">
        <v>215</v>
      </c>
      <c r="B2" s="2" t="s">
        <v>620</v>
      </c>
      <c r="C2" s="18" t="s">
        <v>338</v>
      </c>
      <c r="D2" s="36" t="s">
        <v>571</v>
      </c>
      <c r="E2" s="36" t="s">
        <v>331</v>
      </c>
      <c r="F2" s="36" t="s">
        <v>962</v>
      </c>
    </row>
    <row r="3" spans="1:6" x14ac:dyDescent="0.25">
      <c r="A3" t="s">
        <v>219</v>
      </c>
      <c r="B3" s="17" t="s">
        <v>625</v>
      </c>
      <c r="C3" s="10" t="s">
        <v>347</v>
      </c>
      <c r="D3" s="36" t="s">
        <v>571</v>
      </c>
      <c r="E3" s="36" t="s">
        <v>331</v>
      </c>
      <c r="F3" s="36" t="s">
        <v>962</v>
      </c>
    </row>
    <row r="4" spans="1:6" x14ac:dyDescent="0.25">
      <c r="A4" t="s">
        <v>221</v>
      </c>
      <c r="B4" s="14" t="s">
        <v>639</v>
      </c>
      <c r="C4" s="19" t="s">
        <v>345</v>
      </c>
      <c r="D4" s="36" t="s">
        <v>571</v>
      </c>
      <c r="E4" s="36" t="s">
        <v>331</v>
      </c>
      <c r="F4" s="36" t="s">
        <v>962</v>
      </c>
    </row>
    <row r="5" spans="1:6" x14ac:dyDescent="0.25">
      <c r="A5" t="s">
        <v>223</v>
      </c>
      <c r="B5" s="3" t="s">
        <v>629</v>
      </c>
      <c r="C5" s="20" t="s">
        <v>343</v>
      </c>
      <c r="D5" s="36" t="s">
        <v>571</v>
      </c>
      <c r="E5" s="36" t="s">
        <v>331</v>
      </c>
      <c r="F5" s="36" t="s">
        <v>962</v>
      </c>
    </row>
    <row r="6" spans="1:6" x14ac:dyDescent="0.25">
      <c r="A6" t="s">
        <v>225</v>
      </c>
      <c r="B6" s="3" t="s">
        <v>629</v>
      </c>
      <c r="C6" s="20" t="s">
        <v>343</v>
      </c>
      <c r="D6" s="36" t="s">
        <v>571</v>
      </c>
      <c r="E6" s="36" t="s">
        <v>331</v>
      </c>
      <c r="F6" s="36" t="s">
        <v>962</v>
      </c>
    </row>
    <row r="7" spans="1:6" x14ac:dyDescent="0.25">
      <c r="A7" t="s">
        <v>227</v>
      </c>
      <c r="B7" s="14" t="s">
        <v>639</v>
      </c>
      <c r="C7" s="21" t="s">
        <v>341</v>
      </c>
      <c r="D7" s="36" t="s">
        <v>571</v>
      </c>
      <c r="E7" s="36" t="s">
        <v>331</v>
      </c>
      <c r="F7" s="36" t="s">
        <v>962</v>
      </c>
    </row>
    <row r="8" spans="1:6" x14ac:dyDescent="0.25">
      <c r="A8" t="s">
        <v>229</v>
      </c>
      <c r="B8" s="3" t="s">
        <v>629</v>
      </c>
      <c r="C8" s="11" t="s">
        <v>351</v>
      </c>
      <c r="D8" s="36" t="s">
        <v>571</v>
      </c>
      <c r="E8" s="36" t="s">
        <v>331</v>
      </c>
      <c r="F8" s="36" t="s">
        <v>962</v>
      </c>
    </row>
    <row r="9" spans="1:6" x14ac:dyDescent="0.25">
      <c r="A9" t="s">
        <v>231</v>
      </c>
      <c r="B9" s="2" t="s">
        <v>620</v>
      </c>
      <c r="C9" s="19" t="s">
        <v>345</v>
      </c>
      <c r="D9" s="36" t="s">
        <v>571</v>
      </c>
      <c r="E9" s="36" t="s">
        <v>331</v>
      </c>
      <c r="F9" s="36" t="s">
        <v>962</v>
      </c>
    </row>
    <row r="10" spans="1:6" x14ac:dyDescent="0.25">
      <c r="A10" t="s">
        <v>233</v>
      </c>
      <c r="B10" s="2" t="s">
        <v>620</v>
      </c>
      <c r="C10" s="19" t="s">
        <v>345</v>
      </c>
      <c r="D10" s="36" t="s">
        <v>571</v>
      </c>
      <c r="E10" s="36" t="s">
        <v>331</v>
      </c>
      <c r="F10" s="36" t="s">
        <v>962</v>
      </c>
    </row>
    <row r="11" spans="1:6" x14ac:dyDescent="0.25">
      <c r="A11" t="s">
        <v>652</v>
      </c>
      <c r="B11" s="2" t="s">
        <v>620</v>
      </c>
      <c r="C11" s="10" t="s">
        <v>347</v>
      </c>
      <c r="D11" s="36" t="s">
        <v>571</v>
      </c>
      <c r="E11" s="36" t="s">
        <v>331</v>
      </c>
      <c r="F11" s="36" t="s">
        <v>962</v>
      </c>
    </row>
    <row r="12" spans="1:6" x14ac:dyDescent="0.25">
      <c r="A12" s="22" t="s">
        <v>237</v>
      </c>
      <c r="B12" s="17" t="s">
        <v>625</v>
      </c>
      <c r="C12" s="18" t="s">
        <v>338</v>
      </c>
      <c r="D12" s="36" t="s">
        <v>571</v>
      </c>
      <c r="E12" s="36" t="s">
        <v>331</v>
      </c>
      <c r="F12" s="36" t="s">
        <v>962</v>
      </c>
    </row>
    <row r="13" spans="1:6" x14ac:dyDescent="0.25">
      <c r="A13" s="22" t="s">
        <v>239</v>
      </c>
      <c r="B13" s="2" t="s">
        <v>620</v>
      </c>
      <c r="C13" s="21" t="s">
        <v>341</v>
      </c>
      <c r="D13" s="36" t="s">
        <v>571</v>
      </c>
      <c r="E13" s="36" t="s">
        <v>331</v>
      </c>
      <c r="F13" s="36" t="s">
        <v>962</v>
      </c>
    </row>
    <row r="14" spans="1:6" x14ac:dyDescent="0.25">
      <c r="A14" s="22" t="s">
        <v>241</v>
      </c>
      <c r="B14" s="14" t="s">
        <v>639</v>
      </c>
      <c r="C14" s="10" t="s">
        <v>347</v>
      </c>
      <c r="D14" s="36" t="s">
        <v>571</v>
      </c>
      <c r="E14" s="36" t="s">
        <v>331</v>
      </c>
      <c r="F14" s="36" t="s">
        <v>962</v>
      </c>
    </row>
    <row r="15" spans="1:6" x14ac:dyDescent="0.25">
      <c r="A15" s="22" t="s">
        <v>243</v>
      </c>
      <c r="B15" s="14" t="s">
        <v>639</v>
      </c>
      <c r="C15" s="10" t="s">
        <v>347</v>
      </c>
      <c r="D15" s="36" t="s">
        <v>571</v>
      </c>
      <c r="E15" s="36" t="s">
        <v>331</v>
      </c>
      <c r="F15" s="36" t="s">
        <v>962</v>
      </c>
    </row>
    <row r="16" spans="1:6" x14ac:dyDescent="0.25">
      <c r="A16" s="22" t="s">
        <v>245</v>
      </c>
      <c r="B16" s="2" t="s">
        <v>620</v>
      </c>
      <c r="C16" s="21" t="s">
        <v>341</v>
      </c>
      <c r="D16" s="36" t="s">
        <v>571</v>
      </c>
      <c r="E16" s="36" t="s">
        <v>331</v>
      </c>
      <c r="F16" s="36" t="s">
        <v>962</v>
      </c>
    </row>
    <row r="17" spans="1:6" x14ac:dyDescent="0.25">
      <c r="A17" s="22" t="s">
        <v>247</v>
      </c>
      <c r="B17" s="14" t="s">
        <v>639</v>
      </c>
      <c r="C17" s="18" t="s">
        <v>338</v>
      </c>
      <c r="D17" s="36" t="s">
        <v>571</v>
      </c>
      <c r="E17" s="36" t="s">
        <v>331</v>
      </c>
      <c r="F17" s="36" t="s">
        <v>962</v>
      </c>
    </row>
    <row r="18" spans="1:6" x14ac:dyDescent="0.25">
      <c r="A18" s="22" t="s">
        <v>676</v>
      </c>
      <c r="B18" s="17" t="s">
        <v>625</v>
      </c>
      <c r="C18" s="18" t="s">
        <v>338</v>
      </c>
      <c r="D18" s="36" t="s">
        <v>571</v>
      </c>
      <c r="E18" s="36" t="s">
        <v>331</v>
      </c>
      <c r="F18" s="36" t="s">
        <v>962</v>
      </c>
    </row>
    <row r="19" spans="1:6" x14ac:dyDescent="0.25">
      <c r="A19" s="22" t="s">
        <v>680</v>
      </c>
      <c r="B19" s="17" t="s">
        <v>625</v>
      </c>
      <c r="C19" s="18" t="s">
        <v>338</v>
      </c>
      <c r="D19" s="36" t="s">
        <v>571</v>
      </c>
      <c r="E19" s="36" t="s">
        <v>331</v>
      </c>
      <c r="F19" s="36" t="s">
        <v>962</v>
      </c>
    </row>
    <row r="20" spans="1:6" x14ac:dyDescent="0.25">
      <c r="A20" s="22" t="s">
        <v>683</v>
      </c>
      <c r="B20" s="17" t="s">
        <v>625</v>
      </c>
      <c r="C20" s="18" t="s">
        <v>338</v>
      </c>
      <c r="D20" s="36" t="s">
        <v>571</v>
      </c>
      <c r="E20" s="36" t="s">
        <v>331</v>
      </c>
      <c r="F20" s="36" t="s">
        <v>962</v>
      </c>
    </row>
    <row r="21" spans="1:6" x14ac:dyDescent="0.25">
      <c r="A21" s="22" t="s">
        <v>686</v>
      </c>
      <c r="B21" s="17" t="s">
        <v>625</v>
      </c>
      <c r="C21" s="18" t="s">
        <v>338</v>
      </c>
      <c r="D21" s="36" t="s">
        <v>571</v>
      </c>
      <c r="E21" s="36" t="s">
        <v>331</v>
      </c>
      <c r="F21" s="36" t="s">
        <v>962</v>
      </c>
    </row>
    <row r="22" spans="1:6" x14ac:dyDescent="0.25">
      <c r="A22" s="22" t="s">
        <v>689</v>
      </c>
      <c r="B22" s="17" t="s">
        <v>625</v>
      </c>
      <c r="C22" s="18" t="s">
        <v>338</v>
      </c>
      <c r="D22" s="36" t="s">
        <v>571</v>
      </c>
      <c r="E22" s="36" t="s">
        <v>331</v>
      </c>
      <c r="F22" s="36" t="s">
        <v>962</v>
      </c>
    </row>
    <row r="23" spans="1:6" x14ac:dyDescent="0.25">
      <c r="A23" s="22" t="s">
        <v>692</v>
      </c>
      <c r="B23" s="17" t="s">
        <v>625</v>
      </c>
      <c r="C23" s="18" t="s">
        <v>338</v>
      </c>
      <c r="D23" s="36" t="s">
        <v>571</v>
      </c>
      <c r="E23" s="36" t="s">
        <v>331</v>
      </c>
      <c r="F23" s="36" t="s">
        <v>962</v>
      </c>
    </row>
    <row r="24" spans="1:6" x14ac:dyDescent="0.25">
      <c r="A24" s="22" t="s">
        <v>695</v>
      </c>
      <c r="B24" s="17" t="s">
        <v>625</v>
      </c>
      <c r="C24" s="18" t="s">
        <v>338</v>
      </c>
      <c r="D24" s="36" t="s">
        <v>571</v>
      </c>
      <c r="E24" s="36" t="s">
        <v>331</v>
      </c>
      <c r="F24" s="36" t="s">
        <v>962</v>
      </c>
    </row>
    <row r="25" spans="1:6" x14ac:dyDescent="0.25">
      <c r="A25" s="22" t="s">
        <v>698</v>
      </c>
      <c r="B25" s="17" t="s">
        <v>625</v>
      </c>
      <c r="C25" s="18" t="s">
        <v>338</v>
      </c>
      <c r="D25" s="36" t="s">
        <v>571</v>
      </c>
      <c r="E25" s="36" t="s">
        <v>331</v>
      </c>
      <c r="F25" s="36" t="s">
        <v>962</v>
      </c>
    </row>
    <row r="26" spans="1:6" x14ac:dyDescent="0.25">
      <c r="A26" t="s">
        <v>235</v>
      </c>
      <c r="B26" s="14" t="s">
        <v>639</v>
      </c>
      <c r="C26" s="19" t="s">
        <v>345</v>
      </c>
      <c r="D26" s="36" t="s">
        <v>571</v>
      </c>
      <c r="E26" s="36" t="s">
        <v>331</v>
      </c>
      <c r="F26" s="36" t="s">
        <v>962</v>
      </c>
    </row>
    <row r="27" spans="1:6" x14ac:dyDescent="0.25">
      <c r="A27" t="s">
        <v>704</v>
      </c>
      <c r="B27" s="14" t="s">
        <v>639</v>
      </c>
      <c r="C27" s="19" t="s">
        <v>345</v>
      </c>
      <c r="D27" s="36" t="s">
        <v>571</v>
      </c>
      <c r="E27" s="36" t="s">
        <v>331</v>
      </c>
      <c r="F27" s="36" t="s">
        <v>962</v>
      </c>
    </row>
    <row r="28" spans="1:6" x14ac:dyDescent="0.25">
      <c r="A28" t="s">
        <v>709</v>
      </c>
      <c r="B28" s="14" t="s">
        <v>639</v>
      </c>
      <c r="C28" s="21" t="s">
        <v>341</v>
      </c>
      <c r="D28" s="36" t="s">
        <v>571</v>
      </c>
      <c r="E28" s="36" t="s">
        <v>331</v>
      </c>
      <c r="F28" s="36" t="s">
        <v>962</v>
      </c>
    </row>
    <row r="29" spans="1:6" x14ac:dyDescent="0.25">
      <c r="A29" t="s">
        <v>710</v>
      </c>
      <c r="B29" s="2" t="s">
        <v>620</v>
      </c>
      <c r="C29" s="19" t="s">
        <v>345</v>
      </c>
      <c r="D29" s="36" t="s">
        <v>571</v>
      </c>
      <c r="E29" s="36" t="s">
        <v>331</v>
      </c>
      <c r="F29" s="36" t="s">
        <v>962</v>
      </c>
    </row>
    <row r="30" spans="1:6" x14ac:dyDescent="0.25">
      <c r="A30" t="s">
        <v>711</v>
      </c>
      <c r="B30" s="2" t="s">
        <v>620</v>
      </c>
      <c r="C30" s="19" t="s">
        <v>345</v>
      </c>
      <c r="D30" s="36" t="s">
        <v>571</v>
      </c>
      <c r="E30" s="36" t="s">
        <v>331</v>
      </c>
      <c r="F30" s="36" t="s">
        <v>962</v>
      </c>
    </row>
    <row r="31" spans="1:6" x14ac:dyDescent="0.25">
      <c r="A31" t="s">
        <v>712</v>
      </c>
      <c r="B31" s="14" t="s">
        <v>639</v>
      </c>
      <c r="C31" s="19" t="s">
        <v>345</v>
      </c>
      <c r="D31" s="36" t="s">
        <v>571</v>
      </c>
      <c r="E31" s="36" t="s">
        <v>331</v>
      </c>
      <c r="F31" s="36" t="s">
        <v>962</v>
      </c>
    </row>
    <row r="32" spans="1:6" x14ac:dyDescent="0.25">
      <c r="A32" t="s">
        <v>713</v>
      </c>
      <c r="B32" s="2" t="s">
        <v>620</v>
      </c>
      <c r="C32" s="18" t="s">
        <v>338</v>
      </c>
      <c r="D32" s="36" t="s">
        <v>571</v>
      </c>
      <c r="E32" s="36" t="s">
        <v>331</v>
      </c>
      <c r="F32" s="36" t="s">
        <v>962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topLeftCell="A40" workbookViewId="0">
      <selection activeCell="K35" sqref="K35"/>
    </sheetView>
  </sheetViews>
  <sheetFormatPr defaultRowHeight="15" x14ac:dyDescent="0.25"/>
  <cols>
    <col min="2" max="2" width="9.28515625" style="35" customWidth="1"/>
    <col min="3" max="3" width="10.85546875" style="35" customWidth="1"/>
    <col min="4" max="4" width="12.7109375" style="35" customWidth="1"/>
    <col min="5" max="5" width="12.28515625" style="35" customWidth="1"/>
    <col min="6" max="6" width="13.140625" style="35" customWidth="1"/>
    <col min="7" max="7" width="14" style="35" bestFit="1" customWidth="1"/>
    <col min="8" max="8" width="14.85546875" style="35" customWidth="1"/>
    <col min="9" max="9" width="13.140625" style="35" customWidth="1"/>
    <col min="10" max="10" width="12.42578125" style="35" customWidth="1"/>
    <col min="11" max="11" width="15.28515625" style="35" customWidth="1"/>
  </cols>
  <sheetData>
    <row r="1" spans="1:17" x14ac:dyDescent="0.25">
      <c r="A1" s="16" t="s">
        <v>963</v>
      </c>
      <c r="B1" s="16" t="s">
        <v>964</v>
      </c>
      <c r="C1" s="16" t="s">
        <v>965</v>
      </c>
      <c r="D1" s="16" t="s">
        <v>966</v>
      </c>
      <c r="E1" s="16" t="s">
        <v>967</v>
      </c>
      <c r="F1" s="16" t="s">
        <v>968</v>
      </c>
      <c r="G1" s="16" t="s">
        <v>969</v>
      </c>
      <c r="H1" s="16" t="s">
        <v>970</v>
      </c>
      <c r="I1" s="16" t="s">
        <v>971</v>
      </c>
    </row>
    <row r="2" spans="1:17" x14ac:dyDescent="0.25">
      <c r="A2" s="36">
        <v>1</v>
      </c>
      <c r="B2">
        <f t="shared" ref="B2:B33" si="0">ROUND( $N$3*POWER(A2-1,$N$4), 0)</f>
        <v>0</v>
      </c>
      <c r="C2">
        <f t="shared" ref="C2:C33" si="1">ROUND($O$3*POWER(A2 -1,$O$4), 0)</f>
        <v>0</v>
      </c>
      <c r="D2">
        <f t="shared" ref="D2:D33" si="2">ROUND($P$3 * POWER(A2 - 1, $P$4), 0)</f>
        <v>0</v>
      </c>
      <c r="E2">
        <f t="shared" ref="E2:E33" si="3">ROUND($Q$3 * POWER(A2 - 1, $Q$4), 0)</f>
        <v>0</v>
      </c>
      <c r="F2">
        <v>0</v>
      </c>
      <c r="G2">
        <v>0</v>
      </c>
      <c r="H2">
        <v>0</v>
      </c>
      <c r="I2">
        <v>0</v>
      </c>
      <c r="N2" s="16" t="s">
        <v>964</v>
      </c>
      <c r="O2" s="16" t="s">
        <v>965</v>
      </c>
      <c r="P2" s="16" t="s">
        <v>966</v>
      </c>
      <c r="Q2" s="16" t="s">
        <v>967</v>
      </c>
    </row>
    <row r="3" spans="1:17" x14ac:dyDescent="0.25">
      <c r="A3" s="42">
        <v>2</v>
      </c>
      <c r="B3">
        <f t="shared" si="0"/>
        <v>100</v>
      </c>
      <c r="C3">
        <f t="shared" si="1"/>
        <v>150</v>
      </c>
      <c r="D3">
        <f t="shared" si="2"/>
        <v>200</v>
      </c>
      <c r="E3">
        <f t="shared" si="3"/>
        <v>250</v>
      </c>
      <c r="F3">
        <f t="shared" ref="F3:F34" si="4">B3-B2</f>
        <v>100</v>
      </c>
      <c r="G3">
        <f t="shared" ref="G3:G34" si="5">C3-C2</f>
        <v>150</v>
      </c>
      <c r="H3">
        <f t="shared" ref="H3:H34" si="6">D3-D2</f>
        <v>200</v>
      </c>
      <c r="I3">
        <f t="shared" ref="I3:I34" si="7">E3-E2</f>
        <v>250</v>
      </c>
      <c r="M3" s="10" t="s">
        <v>972</v>
      </c>
      <c r="N3">
        <v>100</v>
      </c>
      <c r="O3">
        <v>150</v>
      </c>
      <c r="P3">
        <v>200</v>
      </c>
      <c r="Q3">
        <v>250</v>
      </c>
    </row>
    <row r="4" spans="1:17" x14ac:dyDescent="0.25">
      <c r="A4" s="36">
        <v>3</v>
      </c>
      <c r="B4">
        <f t="shared" si="0"/>
        <v>303</v>
      </c>
      <c r="C4">
        <f t="shared" si="1"/>
        <v>487</v>
      </c>
      <c r="D4">
        <f t="shared" si="2"/>
        <v>696</v>
      </c>
      <c r="E4">
        <f t="shared" si="3"/>
        <v>933</v>
      </c>
      <c r="F4">
        <f t="shared" si="4"/>
        <v>203</v>
      </c>
      <c r="G4">
        <f t="shared" si="5"/>
        <v>337</v>
      </c>
      <c r="H4">
        <f t="shared" si="6"/>
        <v>496</v>
      </c>
      <c r="I4">
        <f t="shared" si="7"/>
        <v>683</v>
      </c>
      <c r="M4" s="10" t="s">
        <v>973</v>
      </c>
      <c r="N4">
        <v>1.6</v>
      </c>
      <c r="O4">
        <v>1.7</v>
      </c>
      <c r="P4">
        <v>1.8</v>
      </c>
      <c r="Q4">
        <v>1.9</v>
      </c>
    </row>
    <row r="5" spans="1:17" x14ac:dyDescent="0.25">
      <c r="A5" s="42">
        <v>4</v>
      </c>
      <c r="B5">
        <f t="shared" si="0"/>
        <v>580</v>
      </c>
      <c r="C5">
        <f t="shared" si="1"/>
        <v>971</v>
      </c>
      <c r="D5">
        <f t="shared" si="2"/>
        <v>1445</v>
      </c>
      <c r="E5">
        <f t="shared" si="3"/>
        <v>2016</v>
      </c>
      <c r="F5">
        <f t="shared" si="4"/>
        <v>277</v>
      </c>
      <c r="G5">
        <f t="shared" si="5"/>
        <v>484</v>
      </c>
      <c r="H5">
        <f t="shared" si="6"/>
        <v>749</v>
      </c>
      <c r="I5">
        <f t="shared" si="7"/>
        <v>1083</v>
      </c>
    </row>
    <row r="6" spans="1:17" x14ac:dyDescent="0.25">
      <c r="A6" s="36">
        <v>5</v>
      </c>
      <c r="B6">
        <f t="shared" si="0"/>
        <v>919</v>
      </c>
      <c r="C6">
        <f t="shared" si="1"/>
        <v>1583</v>
      </c>
      <c r="D6">
        <f t="shared" si="2"/>
        <v>2425</v>
      </c>
      <c r="E6">
        <f t="shared" si="3"/>
        <v>3482</v>
      </c>
      <c r="F6">
        <f t="shared" si="4"/>
        <v>339</v>
      </c>
      <c r="G6">
        <f t="shared" si="5"/>
        <v>612</v>
      </c>
      <c r="H6">
        <f t="shared" si="6"/>
        <v>980</v>
      </c>
      <c r="I6">
        <f t="shared" si="7"/>
        <v>1466</v>
      </c>
    </row>
    <row r="7" spans="1:17" x14ac:dyDescent="0.25">
      <c r="A7" s="42">
        <v>6</v>
      </c>
      <c r="B7">
        <f t="shared" si="0"/>
        <v>1313</v>
      </c>
      <c r="C7">
        <f t="shared" si="1"/>
        <v>2314</v>
      </c>
      <c r="D7">
        <f t="shared" si="2"/>
        <v>3624</v>
      </c>
      <c r="E7">
        <f t="shared" si="3"/>
        <v>5321</v>
      </c>
      <c r="F7">
        <f t="shared" si="4"/>
        <v>394</v>
      </c>
      <c r="G7">
        <f t="shared" si="5"/>
        <v>731</v>
      </c>
      <c r="H7">
        <f t="shared" si="6"/>
        <v>1199</v>
      </c>
      <c r="I7">
        <f t="shared" si="7"/>
        <v>1839</v>
      </c>
    </row>
    <row r="8" spans="1:17" x14ac:dyDescent="0.25">
      <c r="A8" s="36">
        <v>7</v>
      </c>
      <c r="B8">
        <f t="shared" si="0"/>
        <v>1758</v>
      </c>
      <c r="C8">
        <f t="shared" si="1"/>
        <v>3155</v>
      </c>
      <c r="D8">
        <f t="shared" si="2"/>
        <v>5032</v>
      </c>
      <c r="E8">
        <f t="shared" si="3"/>
        <v>7524</v>
      </c>
      <c r="F8">
        <f t="shared" si="4"/>
        <v>445</v>
      </c>
      <c r="G8">
        <f t="shared" si="5"/>
        <v>841</v>
      </c>
      <c r="H8">
        <f t="shared" si="6"/>
        <v>1408</v>
      </c>
      <c r="I8">
        <f t="shared" si="7"/>
        <v>2203</v>
      </c>
    </row>
    <row r="9" spans="1:17" x14ac:dyDescent="0.25">
      <c r="A9" s="42">
        <v>8</v>
      </c>
      <c r="B9">
        <f t="shared" si="0"/>
        <v>2250</v>
      </c>
      <c r="C9">
        <f t="shared" si="1"/>
        <v>4100</v>
      </c>
      <c r="D9">
        <f t="shared" si="2"/>
        <v>6641</v>
      </c>
      <c r="E9">
        <f t="shared" si="3"/>
        <v>10084</v>
      </c>
      <c r="F9">
        <f t="shared" si="4"/>
        <v>492</v>
      </c>
      <c r="G9">
        <f t="shared" si="5"/>
        <v>945</v>
      </c>
      <c r="H9">
        <f t="shared" si="6"/>
        <v>1609</v>
      </c>
      <c r="I9">
        <f t="shared" si="7"/>
        <v>2560</v>
      </c>
    </row>
    <row r="10" spans="1:17" x14ac:dyDescent="0.25">
      <c r="A10" s="36">
        <v>9</v>
      </c>
      <c r="B10">
        <f t="shared" si="0"/>
        <v>2786</v>
      </c>
      <c r="C10">
        <f t="shared" si="1"/>
        <v>5145</v>
      </c>
      <c r="D10">
        <f t="shared" si="2"/>
        <v>8445</v>
      </c>
      <c r="E10">
        <f t="shared" si="3"/>
        <v>12996</v>
      </c>
      <c r="F10">
        <f t="shared" si="4"/>
        <v>536</v>
      </c>
      <c r="G10">
        <f t="shared" si="5"/>
        <v>1045</v>
      </c>
      <c r="H10">
        <f t="shared" si="6"/>
        <v>1804</v>
      </c>
      <c r="I10">
        <f t="shared" si="7"/>
        <v>2912</v>
      </c>
    </row>
    <row r="11" spans="1:17" x14ac:dyDescent="0.25">
      <c r="A11" s="42">
        <v>10</v>
      </c>
      <c r="B11">
        <f t="shared" si="0"/>
        <v>3363</v>
      </c>
      <c r="C11">
        <f t="shared" si="1"/>
        <v>6285</v>
      </c>
      <c r="D11">
        <f t="shared" si="2"/>
        <v>10439</v>
      </c>
      <c r="E11">
        <f t="shared" si="3"/>
        <v>16256</v>
      </c>
      <c r="F11">
        <f t="shared" si="4"/>
        <v>577</v>
      </c>
      <c r="G11">
        <f t="shared" si="5"/>
        <v>1140</v>
      </c>
      <c r="H11">
        <f t="shared" si="6"/>
        <v>1994</v>
      </c>
      <c r="I11">
        <f t="shared" si="7"/>
        <v>3260</v>
      </c>
    </row>
    <row r="12" spans="1:17" x14ac:dyDescent="0.25">
      <c r="A12" s="36">
        <v>11</v>
      </c>
      <c r="B12">
        <f t="shared" si="0"/>
        <v>3981</v>
      </c>
      <c r="C12">
        <f t="shared" si="1"/>
        <v>7518</v>
      </c>
      <c r="D12">
        <f t="shared" si="2"/>
        <v>12619</v>
      </c>
      <c r="E12">
        <f t="shared" si="3"/>
        <v>19858</v>
      </c>
      <c r="F12">
        <f t="shared" si="4"/>
        <v>618</v>
      </c>
      <c r="G12">
        <f t="shared" si="5"/>
        <v>1233</v>
      </c>
      <c r="H12">
        <f t="shared" si="6"/>
        <v>2180</v>
      </c>
      <c r="I12">
        <f t="shared" si="7"/>
        <v>3602</v>
      </c>
    </row>
    <row r="13" spans="1:17" x14ac:dyDescent="0.25">
      <c r="A13" s="42">
        <v>12</v>
      </c>
      <c r="B13">
        <f t="shared" si="0"/>
        <v>4637</v>
      </c>
      <c r="C13">
        <f t="shared" si="1"/>
        <v>8840</v>
      </c>
      <c r="D13">
        <f t="shared" si="2"/>
        <v>14981</v>
      </c>
      <c r="E13">
        <f t="shared" si="3"/>
        <v>23801</v>
      </c>
      <c r="F13">
        <f t="shared" si="4"/>
        <v>656</v>
      </c>
      <c r="G13">
        <f t="shared" si="5"/>
        <v>1322</v>
      </c>
      <c r="H13">
        <f t="shared" si="6"/>
        <v>2362</v>
      </c>
      <c r="I13">
        <f t="shared" si="7"/>
        <v>3943</v>
      </c>
    </row>
    <row r="14" spans="1:17" x14ac:dyDescent="0.25">
      <c r="A14" s="36">
        <v>13</v>
      </c>
      <c r="B14">
        <f t="shared" si="0"/>
        <v>5330</v>
      </c>
      <c r="C14">
        <f t="shared" si="1"/>
        <v>10249</v>
      </c>
      <c r="D14">
        <f t="shared" si="2"/>
        <v>17521</v>
      </c>
      <c r="E14">
        <f t="shared" si="3"/>
        <v>28079</v>
      </c>
      <c r="F14">
        <f t="shared" si="4"/>
        <v>693</v>
      </c>
      <c r="G14">
        <f t="shared" si="5"/>
        <v>1409</v>
      </c>
      <c r="H14">
        <f t="shared" si="6"/>
        <v>2540</v>
      </c>
      <c r="I14">
        <f t="shared" si="7"/>
        <v>4278</v>
      </c>
    </row>
    <row r="15" spans="1:17" x14ac:dyDescent="0.25">
      <c r="A15" s="42">
        <v>14</v>
      </c>
      <c r="B15">
        <f t="shared" si="0"/>
        <v>6058</v>
      </c>
      <c r="C15">
        <f t="shared" si="1"/>
        <v>11743</v>
      </c>
      <c r="D15">
        <f t="shared" si="2"/>
        <v>20236</v>
      </c>
      <c r="E15">
        <f t="shared" si="3"/>
        <v>32691</v>
      </c>
      <c r="F15">
        <f t="shared" si="4"/>
        <v>728</v>
      </c>
      <c r="G15">
        <f t="shared" si="5"/>
        <v>1494</v>
      </c>
      <c r="H15">
        <f t="shared" si="6"/>
        <v>2715</v>
      </c>
      <c r="I15">
        <f t="shared" si="7"/>
        <v>4612</v>
      </c>
    </row>
    <row r="16" spans="1:17" x14ac:dyDescent="0.25">
      <c r="A16" s="36">
        <v>15</v>
      </c>
      <c r="B16">
        <f t="shared" si="0"/>
        <v>6820</v>
      </c>
      <c r="C16">
        <f t="shared" si="1"/>
        <v>13320</v>
      </c>
      <c r="D16">
        <f t="shared" si="2"/>
        <v>23124</v>
      </c>
      <c r="E16">
        <f t="shared" si="3"/>
        <v>37634</v>
      </c>
      <c r="F16">
        <f t="shared" si="4"/>
        <v>762</v>
      </c>
      <c r="G16">
        <f t="shared" si="5"/>
        <v>1577</v>
      </c>
      <c r="H16">
        <f t="shared" si="6"/>
        <v>2888</v>
      </c>
      <c r="I16">
        <f t="shared" si="7"/>
        <v>4943</v>
      </c>
    </row>
    <row r="17" spans="1:9" x14ac:dyDescent="0.25">
      <c r="A17" s="42">
        <v>16</v>
      </c>
      <c r="B17">
        <f t="shared" si="0"/>
        <v>7616</v>
      </c>
      <c r="C17">
        <f t="shared" si="1"/>
        <v>14978</v>
      </c>
      <c r="D17">
        <f t="shared" si="2"/>
        <v>26181</v>
      </c>
      <c r="E17">
        <f t="shared" si="3"/>
        <v>42906</v>
      </c>
      <c r="F17">
        <f t="shared" si="4"/>
        <v>796</v>
      </c>
      <c r="G17">
        <f t="shared" si="5"/>
        <v>1658</v>
      </c>
      <c r="H17">
        <f t="shared" si="6"/>
        <v>3057</v>
      </c>
      <c r="I17">
        <f t="shared" si="7"/>
        <v>5272</v>
      </c>
    </row>
    <row r="18" spans="1:9" x14ac:dyDescent="0.25">
      <c r="A18" s="36">
        <v>17</v>
      </c>
      <c r="B18">
        <f t="shared" si="0"/>
        <v>8445</v>
      </c>
      <c r="C18">
        <f t="shared" si="1"/>
        <v>16715</v>
      </c>
      <c r="D18">
        <f t="shared" si="2"/>
        <v>29407</v>
      </c>
      <c r="E18">
        <f t="shared" si="3"/>
        <v>48503</v>
      </c>
      <c r="F18">
        <f t="shared" si="4"/>
        <v>829</v>
      </c>
      <c r="G18">
        <f t="shared" si="5"/>
        <v>1737</v>
      </c>
      <c r="H18">
        <f t="shared" si="6"/>
        <v>3226</v>
      </c>
      <c r="I18">
        <f t="shared" si="7"/>
        <v>5597</v>
      </c>
    </row>
    <row r="19" spans="1:9" x14ac:dyDescent="0.25">
      <c r="A19" s="42">
        <v>18</v>
      </c>
      <c r="B19">
        <f t="shared" si="0"/>
        <v>9305</v>
      </c>
      <c r="C19">
        <f t="shared" si="1"/>
        <v>18529</v>
      </c>
      <c r="D19">
        <f t="shared" si="2"/>
        <v>32797</v>
      </c>
      <c r="E19">
        <f t="shared" si="3"/>
        <v>54424</v>
      </c>
      <c r="F19">
        <f t="shared" si="4"/>
        <v>860</v>
      </c>
      <c r="G19">
        <f t="shared" si="5"/>
        <v>1814</v>
      </c>
      <c r="H19">
        <f t="shared" si="6"/>
        <v>3390</v>
      </c>
      <c r="I19">
        <f t="shared" si="7"/>
        <v>5921</v>
      </c>
    </row>
    <row r="20" spans="1:9" x14ac:dyDescent="0.25">
      <c r="A20" s="36">
        <v>19</v>
      </c>
      <c r="B20">
        <f t="shared" si="0"/>
        <v>10196</v>
      </c>
      <c r="C20">
        <f t="shared" si="1"/>
        <v>20420</v>
      </c>
      <c r="D20">
        <f t="shared" si="2"/>
        <v>36351</v>
      </c>
      <c r="E20">
        <f t="shared" si="3"/>
        <v>60668</v>
      </c>
      <c r="F20">
        <f t="shared" si="4"/>
        <v>891</v>
      </c>
      <c r="G20">
        <f t="shared" si="5"/>
        <v>1891</v>
      </c>
      <c r="H20">
        <f t="shared" si="6"/>
        <v>3554</v>
      </c>
      <c r="I20">
        <f t="shared" si="7"/>
        <v>6244</v>
      </c>
    </row>
    <row r="21" spans="1:9" x14ac:dyDescent="0.25">
      <c r="A21" s="42">
        <v>20</v>
      </c>
      <c r="B21">
        <f t="shared" si="0"/>
        <v>11117</v>
      </c>
      <c r="C21">
        <f t="shared" si="1"/>
        <v>22386</v>
      </c>
      <c r="D21">
        <f t="shared" si="2"/>
        <v>40067</v>
      </c>
      <c r="E21">
        <f t="shared" si="3"/>
        <v>67231</v>
      </c>
      <c r="F21">
        <f t="shared" si="4"/>
        <v>921</v>
      </c>
      <c r="G21">
        <f t="shared" si="5"/>
        <v>1966</v>
      </c>
      <c r="H21">
        <f t="shared" si="6"/>
        <v>3716</v>
      </c>
      <c r="I21">
        <f t="shared" si="7"/>
        <v>6563</v>
      </c>
    </row>
    <row r="22" spans="1:9" x14ac:dyDescent="0.25">
      <c r="A22" s="36">
        <v>21</v>
      </c>
      <c r="B22">
        <f t="shared" si="0"/>
        <v>12068</v>
      </c>
      <c r="C22">
        <f t="shared" si="1"/>
        <v>24425</v>
      </c>
      <c r="D22">
        <f t="shared" si="2"/>
        <v>43942</v>
      </c>
      <c r="E22">
        <f t="shared" si="3"/>
        <v>74113</v>
      </c>
      <c r="F22">
        <f t="shared" si="4"/>
        <v>951</v>
      </c>
      <c r="G22">
        <f t="shared" si="5"/>
        <v>2039</v>
      </c>
      <c r="H22">
        <f t="shared" si="6"/>
        <v>3875</v>
      </c>
      <c r="I22">
        <f t="shared" si="7"/>
        <v>6882</v>
      </c>
    </row>
    <row r="23" spans="1:9" x14ac:dyDescent="0.25">
      <c r="A23" s="42">
        <v>22</v>
      </c>
      <c r="B23">
        <f t="shared" si="0"/>
        <v>13048</v>
      </c>
      <c r="C23">
        <f t="shared" si="1"/>
        <v>26538</v>
      </c>
      <c r="D23">
        <f t="shared" si="2"/>
        <v>47976</v>
      </c>
      <c r="E23">
        <f t="shared" si="3"/>
        <v>81312</v>
      </c>
      <c r="F23">
        <f t="shared" si="4"/>
        <v>980</v>
      </c>
      <c r="G23">
        <f t="shared" si="5"/>
        <v>2113</v>
      </c>
      <c r="H23">
        <f t="shared" si="6"/>
        <v>4034</v>
      </c>
      <c r="I23">
        <f t="shared" si="7"/>
        <v>7199</v>
      </c>
    </row>
    <row r="24" spans="1:9" x14ac:dyDescent="0.25">
      <c r="A24" s="36">
        <v>23</v>
      </c>
      <c r="B24">
        <f t="shared" si="0"/>
        <v>14056</v>
      </c>
      <c r="C24">
        <f t="shared" si="1"/>
        <v>28722</v>
      </c>
      <c r="D24">
        <f t="shared" si="2"/>
        <v>52166</v>
      </c>
      <c r="E24">
        <f t="shared" si="3"/>
        <v>88827</v>
      </c>
      <c r="F24">
        <f t="shared" si="4"/>
        <v>1008</v>
      </c>
      <c r="G24">
        <f t="shared" si="5"/>
        <v>2184</v>
      </c>
      <c r="H24">
        <f t="shared" si="6"/>
        <v>4190</v>
      </c>
      <c r="I24">
        <f t="shared" si="7"/>
        <v>7515</v>
      </c>
    </row>
    <row r="25" spans="1:9" x14ac:dyDescent="0.25">
      <c r="A25" s="42">
        <v>24</v>
      </c>
      <c r="B25">
        <f t="shared" si="0"/>
        <v>15093</v>
      </c>
      <c r="C25">
        <f t="shared" si="1"/>
        <v>30976</v>
      </c>
      <c r="D25">
        <f t="shared" si="2"/>
        <v>56512</v>
      </c>
      <c r="E25">
        <f t="shared" si="3"/>
        <v>96655</v>
      </c>
      <c r="F25">
        <f t="shared" si="4"/>
        <v>1037</v>
      </c>
      <c r="G25">
        <f t="shared" si="5"/>
        <v>2254</v>
      </c>
      <c r="H25">
        <f t="shared" si="6"/>
        <v>4346</v>
      </c>
      <c r="I25">
        <f t="shared" si="7"/>
        <v>7828</v>
      </c>
    </row>
    <row r="26" spans="1:9" x14ac:dyDescent="0.25">
      <c r="A26" s="36">
        <v>25</v>
      </c>
      <c r="B26">
        <f t="shared" si="0"/>
        <v>16156</v>
      </c>
      <c r="C26">
        <f t="shared" si="1"/>
        <v>33300</v>
      </c>
      <c r="D26">
        <f t="shared" si="2"/>
        <v>61011</v>
      </c>
      <c r="E26">
        <f t="shared" si="3"/>
        <v>104795</v>
      </c>
      <c r="F26">
        <f t="shared" si="4"/>
        <v>1063</v>
      </c>
      <c r="G26">
        <f t="shared" si="5"/>
        <v>2324</v>
      </c>
      <c r="H26">
        <f t="shared" si="6"/>
        <v>4499</v>
      </c>
      <c r="I26">
        <f t="shared" si="7"/>
        <v>8140</v>
      </c>
    </row>
    <row r="27" spans="1:9" x14ac:dyDescent="0.25">
      <c r="A27" s="42">
        <v>26</v>
      </c>
      <c r="B27">
        <f t="shared" si="0"/>
        <v>17247</v>
      </c>
      <c r="C27">
        <f t="shared" si="1"/>
        <v>35694</v>
      </c>
      <c r="D27">
        <f t="shared" si="2"/>
        <v>65663</v>
      </c>
      <c r="E27">
        <f t="shared" si="3"/>
        <v>113247</v>
      </c>
      <c r="F27">
        <f t="shared" si="4"/>
        <v>1091</v>
      </c>
      <c r="G27">
        <f t="shared" si="5"/>
        <v>2394</v>
      </c>
      <c r="H27">
        <f t="shared" si="6"/>
        <v>4652</v>
      </c>
      <c r="I27">
        <f t="shared" si="7"/>
        <v>8452</v>
      </c>
    </row>
    <row r="28" spans="1:9" x14ac:dyDescent="0.25">
      <c r="A28" s="36">
        <v>27</v>
      </c>
      <c r="B28">
        <f t="shared" si="0"/>
        <v>18364</v>
      </c>
      <c r="C28">
        <f t="shared" si="1"/>
        <v>38155</v>
      </c>
      <c r="D28">
        <f t="shared" si="2"/>
        <v>70466</v>
      </c>
      <c r="E28">
        <f t="shared" si="3"/>
        <v>122008</v>
      </c>
      <c r="F28">
        <f t="shared" si="4"/>
        <v>1117</v>
      </c>
      <c r="G28">
        <f t="shared" si="5"/>
        <v>2461</v>
      </c>
      <c r="H28">
        <f t="shared" si="6"/>
        <v>4803</v>
      </c>
      <c r="I28">
        <f t="shared" si="7"/>
        <v>8761</v>
      </c>
    </row>
    <row r="29" spans="1:9" x14ac:dyDescent="0.25">
      <c r="A29" s="42">
        <v>28</v>
      </c>
      <c r="B29">
        <f t="shared" si="0"/>
        <v>19507</v>
      </c>
      <c r="C29">
        <f t="shared" si="1"/>
        <v>40683</v>
      </c>
      <c r="D29">
        <f t="shared" si="2"/>
        <v>75420</v>
      </c>
      <c r="E29">
        <f t="shared" si="3"/>
        <v>131078</v>
      </c>
      <c r="F29">
        <f t="shared" si="4"/>
        <v>1143</v>
      </c>
      <c r="G29">
        <f t="shared" si="5"/>
        <v>2528</v>
      </c>
      <c r="H29">
        <f t="shared" si="6"/>
        <v>4954</v>
      </c>
      <c r="I29">
        <f t="shared" si="7"/>
        <v>9070</v>
      </c>
    </row>
    <row r="30" spans="1:9" x14ac:dyDescent="0.25">
      <c r="A30" s="36">
        <v>29</v>
      </c>
      <c r="B30">
        <f t="shared" si="0"/>
        <v>20675</v>
      </c>
      <c r="C30">
        <f t="shared" si="1"/>
        <v>43277</v>
      </c>
      <c r="D30">
        <f t="shared" si="2"/>
        <v>80522</v>
      </c>
      <c r="E30">
        <f t="shared" si="3"/>
        <v>140456</v>
      </c>
      <c r="F30">
        <f t="shared" si="4"/>
        <v>1168</v>
      </c>
      <c r="G30">
        <f t="shared" si="5"/>
        <v>2594</v>
      </c>
      <c r="H30">
        <f t="shared" si="6"/>
        <v>5102</v>
      </c>
      <c r="I30">
        <f t="shared" si="7"/>
        <v>9378</v>
      </c>
    </row>
    <row r="31" spans="1:9" x14ac:dyDescent="0.25">
      <c r="A31" s="42">
        <v>30</v>
      </c>
      <c r="B31">
        <f t="shared" si="0"/>
        <v>21869</v>
      </c>
      <c r="C31">
        <f t="shared" si="1"/>
        <v>45938</v>
      </c>
      <c r="D31">
        <f t="shared" si="2"/>
        <v>85772</v>
      </c>
      <c r="E31">
        <f t="shared" si="3"/>
        <v>150140</v>
      </c>
      <c r="F31">
        <f t="shared" si="4"/>
        <v>1194</v>
      </c>
      <c r="G31">
        <f t="shared" si="5"/>
        <v>2661</v>
      </c>
      <c r="H31">
        <f t="shared" si="6"/>
        <v>5250</v>
      </c>
      <c r="I31">
        <f t="shared" si="7"/>
        <v>9684</v>
      </c>
    </row>
    <row r="32" spans="1:9" x14ac:dyDescent="0.25">
      <c r="A32" s="36">
        <v>31</v>
      </c>
      <c r="B32">
        <f t="shared" si="0"/>
        <v>23088</v>
      </c>
      <c r="C32">
        <f t="shared" si="1"/>
        <v>48663</v>
      </c>
      <c r="D32">
        <f t="shared" si="2"/>
        <v>91169</v>
      </c>
      <c r="E32">
        <f t="shared" si="3"/>
        <v>160129</v>
      </c>
      <c r="F32">
        <f t="shared" si="4"/>
        <v>1219</v>
      </c>
      <c r="G32">
        <f t="shared" si="5"/>
        <v>2725</v>
      </c>
      <c r="H32">
        <f t="shared" si="6"/>
        <v>5397</v>
      </c>
      <c r="I32">
        <f t="shared" si="7"/>
        <v>9989</v>
      </c>
    </row>
    <row r="33" spans="1:9" x14ac:dyDescent="0.25">
      <c r="A33" s="42">
        <v>32</v>
      </c>
      <c r="B33">
        <f t="shared" si="0"/>
        <v>24332</v>
      </c>
      <c r="C33">
        <f t="shared" si="1"/>
        <v>51452</v>
      </c>
      <c r="D33">
        <f t="shared" si="2"/>
        <v>96712</v>
      </c>
      <c r="E33">
        <f t="shared" si="3"/>
        <v>170423</v>
      </c>
      <c r="F33">
        <f t="shared" si="4"/>
        <v>1244</v>
      </c>
      <c r="G33">
        <f t="shared" si="5"/>
        <v>2789</v>
      </c>
      <c r="H33">
        <f t="shared" si="6"/>
        <v>5543</v>
      </c>
      <c r="I33">
        <f t="shared" si="7"/>
        <v>10294</v>
      </c>
    </row>
    <row r="34" spans="1:9" x14ac:dyDescent="0.25">
      <c r="A34" s="36">
        <v>33</v>
      </c>
      <c r="B34">
        <f t="shared" ref="B34:B65" si="8">ROUND( $N$3*POWER(A34-1,$N$4), 0)</f>
        <v>25600</v>
      </c>
      <c r="C34">
        <f t="shared" ref="C34:C65" si="9">ROUND($O$3*POWER(A34 -1,$O$4), 0)</f>
        <v>54306</v>
      </c>
      <c r="D34">
        <f t="shared" ref="D34:D65" si="10">ROUND($P$3 * POWER(A34 - 1, $P$4), 0)</f>
        <v>102400</v>
      </c>
      <c r="E34">
        <f t="shared" ref="E34:E65" si="11">ROUND($Q$3 * POWER(A34 - 1, $Q$4), 0)</f>
        <v>181019</v>
      </c>
      <c r="F34">
        <f t="shared" si="4"/>
        <v>1268</v>
      </c>
      <c r="G34">
        <f t="shared" si="5"/>
        <v>2854</v>
      </c>
      <c r="H34">
        <f t="shared" si="6"/>
        <v>5688</v>
      </c>
      <c r="I34">
        <f t="shared" si="7"/>
        <v>10596</v>
      </c>
    </row>
    <row r="35" spans="1:9" x14ac:dyDescent="0.25">
      <c r="A35" s="42">
        <v>34</v>
      </c>
      <c r="B35">
        <f t="shared" si="8"/>
        <v>26892</v>
      </c>
      <c r="C35">
        <f t="shared" si="9"/>
        <v>57222</v>
      </c>
      <c r="D35">
        <f t="shared" si="10"/>
        <v>108232</v>
      </c>
      <c r="E35">
        <f t="shared" si="11"/>
        <v>191918</v>
      </c>
      <c r="F35">
        <f t="shared" ref="F35:F66" si="12">B35-B34</f>
        <v>1292</v>
      </c>
      <c r="G35">
        <f t="shared" ref="G35:G66" si="13">C35-C34</f>
        <v>2916</v>
      </c>
      <c r="H35">
        <f t="shared" ref="H35:H66" si="14">D35-D34</f>
        <v>5832</v>
      </c>
      <c r="I35">
        <f t="shared" ref="I35:I66" si="15">E35-E34</f>
        <v>10899</v>
      </c>
    </row>
    <row r="36" spans="1:9" x14ac:dyDescent="0.25">
      <c r="A36" s="36">
        <v>35</v>
      </c>
      <c r="B36">
        <f t="shared" si="8"/>
        <v>28208</v>
      </c>
      <c r="C36">
        <f t="shared" si="9"/>
        <v>60201</v>
      </c>
      <c r="D36">
        <f t="shared" si="10"/>
        <v>114207</v>
      </c>
      <c r="E36">
        <f t="shared" si="11"/>
        <v>203119</v>
      </c>
      <c r="F36">
        <f t="shared" si="12"/>
        <v>1316</v>
      </c>
      <c r="G36">
        <f t="shared" si="13"/>
        <v>2979</v>
      </c>
      <c r="H36">
        <f t="shared" si="14"/>
        <v>5975</v>
      </c>
      <c r="I36">
        <f t="shared" si="15"/>
        <v>11201</v>
      </c>
    </row>
    <row r="37" spans="1:9" x14ac:dyDescent="0.25">
      <c r="A37" s="42">
        <v>36</v>
      </c>
      <c r="B37">
        <f t="shared" si="8"/>
        <v>29547</v>
      </c>
      <c r="C37">
        <f t="shared" si="9"/>
        <v>63242</v>
      </c>
      <c r="D37">
        <f t="shared" si="10"/>
        <v>120324</v>
      </c>
      <c r="E37">
        <f t="shared" si="11"/>
        <v>214620</v>
      </c>
      <c r="F37">
        <f t="shared" si="12"/>
        <v>1339</v>
      </c>
      <c r="G37">
        <f t="shared" si="13"/>
        <v>3041</v>
      </c>
      <c r="H37">
        <f t="shared" si="14"/>
        <v>6117</v>
      </c>
      <c r="I37">
        <f t="shared" si="15"/>
        <v>11501</v>
      </c>
    </row>
    <row r="38" spans="1:9" x14ac:dyDescent="0.25">
      <c r="A38" s="36">
        <v>37</v>
      </c>
      <c r="B38">
        <f t="shared" si="8"/>
        <v>30909</v>
      </c>
      <c r="C38">
        <f t="shared" si="9"/>
        <v>66345</v>
      </c>
      <c r="D38">
        <f t="shared" si="10"/>
        <v>126583</v>
      </c>
      <c r="E38">
        <f t="shared" si="11"/>
        <v>226420</v>
      </c>
      <c r="F38">
        <f t="shared" si="12"/>
        <v>1362</v>
      </c>
      <c r="G38">
        <f t="shared" si="13"/>
        <v>3103</v>
      </c>
      <c r="H38">
        <f t="shared" si="14"/>
        <v>6259</v>
      </c>
      <c r="I38">
        <f t="shared" si="15"/>
        <v>11800</v>
      </c>
    </row>
    <row r="39" spans="1:9" x14ac:dyDescent="0.25">
      <c r="A39" s="42">
        <v>38</v>
      </c>
      <c r="B39">
        <f t="shared" si="8"/>
        <v>32294</v>
      </c>
      <c r="C39">
        <f t="shared" si="9"/>
        <v>69508</v>
      </c>
      <c r="D39">
        <f t="shared" si="10"/>
        <v>132982</v>
      </c>
      <c r="E39">
        <f t="shared" si="11"/>
        <v>238519</v>
      </c>
      <c r="F39">
        <f t="shared" si="12"/>
        <v>1385</v>
      </c>
      <c r="G39">
        <f t="shared" si="13"/>
        <v>3163</v>
      </c>
      <c r="H39">
        <f t="shared" si="14"/>
        <v>6399</v>
      </c>
      <c r="I39">
        <f t="shared" si="15"/>
        <v>12099</v>
      </c>
    </row>
    <row r="40" spans="1:9" x14ac:dyDescent="0.25">
      <c r="A40" s="36">
        <v>39</v>
      </c>
      <c r="B40">
        <f t="shared" si="8"/>
        <v>33702</v>
      </c>
      <c r="C40">
        <f t="shared" si="9"/>
        <v>72732</v>
      </c>
      <c r="D40">
        <f t="shared" si="10"/>
        <v>139521</v>
      </c>
      <c r="E40">
        <f t="shared" si="11"/>
        <v>250916</v>
      </c>
      <c r="F40">
        <f t="shared" si="12"/>
        <v>1408</v>
      </c>
      <c r="G40">
        <f t="shared" si="13"/>
        <v>3224</v>
      </c>
      <c r="H40">
        <f t="shared" si="14"/>
        <v>6539</v>
      </c>
      <c r="I40">
        <f t="shared" si="15"/>
        <v>12397</v>
      </c>
    </row>
    <row r="41" spans="1:9" x14ac:dyDescent="0.25">
      <c r="A41" s="42">
        <v>40</v>
      </c>
      <c r="B41">
        <f t="shared" si="8"/>
        <v>35132</v>
      </c>
      <c r="C41">
        <f t="shared" si="9"/>
        <v>76015</v>
      </c>
      <c r="D41">
        <f t="shared" si="10"/>
        <v>146200</v>
      </c>
      <c r="E41">
        <f t="shared" si="11"/>
        <v>263611</v>
      </c>
      <c r="F41">
        <f t="shared" si="12"/>
        <v>1430</v>
      </c>
      <c r="G41">
        <f t="shared" si="13"/>
        <v>3283</v>
      </c>
      <c r="H41">
        <f t="shared" si="14"/>
        <v>6679</v>
      </c>
      <c r="I41">
        <f t="shared" si="15"/>
        <v>12695</v>
      </c>
    </row>
    <row r="42" spans="1:9" x14ac:dyDescent="0.25">
      <c r="A42" s="36">
        <v>41</v>
      </c>
      <c r="B42">
        <f t="shared" si="8"/>
        <v>36584</v>
      </c>
      <c r="C42">
        <f t="shared" si="9"/>
        <v>79358</v>
      </c>
      <c r="D42">
        <f t="shared" si="10"/>
        <v>153016</v>
      </c>
      <c r="E42">
        <f t="shared" si="11"/>
        <v>276601</v>
      </c>
      <c r="F42">
        <f t="shared" si="12"/>
        <v>1452</v>
      </c>
      <c r="G42">
        <f t="shared" si="13"/>
        <v>3343</v>
      </c>
      <c r="H42">
        <f t="shared" si="14"/>
        <v>6816</v>
      </c>
      <c r="I42">
        <f t="shared" si="15"/>
        <v>12990</v>
      </c>
    </row>
    <row r="43" spans="1:9" x14ac:dyDescent="0.25">
      <c r="A43" s="42">
        <v>42</v>
      </c>
      <c r="B43">
        <f t="shared" si="8"/>
        <v>38059</v>
      </c>
      <c r="C43">
        <f t="shared" si="9"/>
        <v>82761</v>
      </c>
      <c r="D43">
        <f t="shared" si="10"/>
        <v>159971</v>
      </c>
      <c r="E43">
        <f t="shared" si="11"/>
        <v>289887</v>
      </c>
      <c r="F43">
        <f t="shared" si="12"/>
        <v>1475</v>
      </c>
      <c r="G43">
        <f t="shared" si="13"/>
        <v>3403</v>
      </c>
      <c r="H43">
        <f t="shared" si="14"/>
        <v>6955</v>
      </c>
      <c r="I43">
        <f t="shared" si="15"/>
        <v>13286</v>
      </c>
    </row>
    <row r="44" spans="1:9" x14ac:dyDescent="0.25">
      <c r="A44" s="36">
        <v>43</v>
      </c>
      <c r="B44">
        <f t="shared" si="8"/>
        <v>39555</v>
      </c>
      <c r="C44">
        <f t="shared" si="9"/>
        <v>86221</v>
      </c>
      <c r="D44">
        <f t="shared" si="10"/>
        <v>167062</v>
      </c>
      <c r="E44">
        <f t="shared" si="11"/>
        <v>303469</v>
      </c>
      <c r="F44">
        <f t="shared" si="12"/>
        <v>1496</v>
      </c>
      <c r="G44">
        <f t="shared" si="13"/>
        <v>3460</v>
      </c>
      <c r="H44">
        <f t="shared" si="14"/>
        <v>7091</v>
      </c>
      <c r="I44">
        <f t="shared" si="15"/>
        <v>13582</v>
      </c>
    </row>
    <row r="45" spans="1:9" x14ac:dyDescent="0.25">
      <c r="A45" s="42">
        <v>44</v>
      </c>
      <c r="B45">
        <f t="shared" si="8"/>
        <v>41072</v>
      </c>
      <c r="C45">
        <f t="shared" si="9"/>
        <v>89740</v>
      </c>
      <c r="D45">
        <f t="shared" si="10"/>
        <v>174290</v>
      </c>
      <c r="E45">
        <f t="shared" si="11"/>
        <v>317344</v>
      </c>
      <c r="F45">
        <f t="shared" si="12"/>
        <v>1517</v>
      </c>
      <c r="G45">
        <f t="shared" si="13"/>
        <v>3519</v>
      </c>
      <c r="H45">
        <f t="shared" si="14"/>
        <v>7228</v>
      </c>
      <c r="I45">
        <f t="shared" si="15"/>
        <v>13875</v>
      </c>
    </row>
    <row r="46" spans="1:9" x14ac:dyDescent="0.25">
      <c r="A46" s="36">
        <v>45</v>
      </c>
      <c r="B46">
        <f t="shared" si="8"/>
        <v>42611</v>
      </c>
      <c r="C46">
        <f t="shared" si="9"/>
        <v>93317</v>
      </c>
      <c r="D46">
        <f t="shared" si="10"/>
        <v>181654</v>
      </c>
      <c r="E46">
        <f t="shared" si="11"/>
        <v>331513</v>
      </c>
      <c r="F46">
        <f t="shared" si="12"/>
        <v>1539</v>
      </c>
      <c r="G46">
        <f t="shared" si="13"/>
        <v>3577</v>
      </c>
      <c r="H46">
        <f t="shared" si="14"/>
        <v>7364</v>
      </c>
      <c r="I46">
        <f t="shared" si="15"/>
        <v>14169</v>
      </c>
    </row>
    <row r="47" spans="1:9" x14ac:dyDescent="0.25">
      <c r="A47" s="42">
        <v>46</v>
      </c>
      <c r="B47">
        <f t="shared" si="8"/>
        <v>44171</v>
      </c>
      <c r="C47">
        <f t="shared" si="9"/>
        <v>96951</v>
      </c>
      <c r="D47">
        <f t="shared" si="10"/>
        <v>189153</v>
      </c>
      <c r="E47">
        <f t="shared" si="11"/>
        <v>345974</v>
      </c>
      <c r="F47">
        <f t="shared" si="12"/>
        <v>1560</v>
      </c>
      <c r="G47">
        <f t="shared" si="13"/>
        <v>3634</v>
      </c>
      <c r="H47">
        <f t="shared" si="14"/>
        <v>7499</v>
      </c>
      <c r="I47">
        <f t="shared" si="15"/>
        <v>14461</v>
      </c>
    </row>
    <row r="48" spans="1:9" x14ac:dyDescent="0.25">
      <c r="A48" s="36">
        <v>47</v>
      </c>
      <c r="B48">
        <f t="shared" si="8"/>
        <v>45752</v>
      </c>
      <c r="C48">
        <f t="shared" si="9"/>
        <v>100642</v>
      </c>
      <c r="D48">
        <f t="shared" si="10"/>
        <v>196786</v>
      </c>
      <c r="E48">
        <f t="shared" si="11"/>
        <v>360728</v>
      </c>
      <c r="F48">
        <f t="shared" si="12"/>
        <v>1581</v>
      </c>
      <c r="G48">
        <f t="shared" si="13"/>
        <v>3691</v>
      </c>
      <c r="H48">
        <f t="shared" si="14"/>
        <v>7633</v>
      </c>
      <c r="I48">
        <f t="shared" si="15"/>
        <v>14754</v>
      </c>
    </row>
    <row r="49" spans="1:9" x14ac:dyDescent="0.25">
      <c r="A49" s="42">
        <v>48</v>
      </c>
      <c r="B49">
        <f t="shared" si="8"/>
        <v>47354</v>
      </c>
      <c r="C49">
        <f t="shared" si="9"/>
        <v>104390</v>
      </c>
      <c r="D49">
        <f t="shared" si="10"/>
        <v>204553</v>
      </c>
      <c r="E49">
        <f t="shared" si="11"/>
        <v>375773</v>
      </c>
      <c r="F49">
        <f t="shared" si="12"/>
        <v>1602</v>
      </c>
      <c r="G49">
        <f t="shared" si="13"/>
        <v>3748</v>
      </c>
      <c r="H49">
        <f t="shared" si="14"/>
        <v>7767</v>
      </c>
      <c r="I49">
        <f t="shared" si="15"/>
        <v>15045</v>
      </c>
    </row>
    <row r="50" spans="1:9" x14ac:dyDescent="0.25">
      <c r="A50" s="36">
        <v>49</v>
      </c>
      <c r="B50">
        <f t="shared" si="8"/>
        <v>48976</v>
      </c>
      <c r="C50">
        <f t="shared" si="9"/>
        <v>108194</v>
      </c>
      <c r="D50">
        <f t="shared" si="10"/>
        <v>212454</v>
      </c>
      <c r="E50">
        <f t="shared" si="11"/>
        <v>391109</v>
      </c>
      <c r="F50">
        <f t="shared" si="12"/>
        <v>1622</v>
      </c>
      <c r="G50">
        <f t="shared" si="13"/>
        <v>3804</v>
      </c>
      <c r="H50">
        <f t="shared" si="14"/>
        <v>7901</v>
      </c>
      <c r="I50">
        <f t="shared" si="15"/>
        <v>15336</v>
      </c>
    </row>
    <row r="51" spans="1:9" x14ac:dyDescent="0.25">
      <c r="A51" s="42">
        <v>50</v>
      </c>
      <c r="B51">
        <f t="shared" si="8"/>
        <v>50619</v>
      </c>
      <c r="C51">
        <f t="shared" si="9"/>
        <v>112053</v>
      </c>
      <c r="D51">
        <f t="shared" si="10"/>
        <v>220487</v>
      </c>
      <c r="E51">
        <f t="shared" si="11"/>
        <v>406736</v>
      </c>
      <c r="F51">
        <f t="shared" si="12"/>
        <v>1643</v>
      </c>
      <c r="G51">
        <f t="shared" si="13"/>
        <v>3859</v>
      </c>
      <c r="H51">
        <f t="shared" si="14"/>
        <v>8033</v>
      </c>
      <c r="I51">
        <f t="shared" si="15"/>
        <v>15627</v>
      </c>
    </row>
    <row r="52" spans="1:9" x14ac:dyDescent="0.25">
      <c r="A52" s="36">
        <v>51</v>
      </c>
      <c r="B52">
        <f t="shared" si="8"/>
        <v>52282</v>
      </c>
      <c r="C52">
        <f t="shared" si="9"/>
        <v>115969</v>
      </c>
      <c r="D52">
        <f t="shared" si="10"/>
        <v>228653</v>
      </c>
      <c r="E52">
        <f t="shared" si="11"/>
        <v>422652</v>
      </c>
      <c r="F52">
        <f t="shared" si="12"/>
        <v>1663</v>
      </c>
      <c r="G52">
        <f t="shared" si="13"/>
        <v>3916</v>
      </c>
      <c r="H52">
        <f t="shared" si="14"/>
        <v>8166</v>
      </c>
      <c r="I52">
        <f t="shared" si="15"/>
        <v>15916</v>
      </c>
    </row>
    <row r="53" spans="1:9" x14ac:dyDescent="0.25">
      <c r="A53" s="42">
        <v>52</v>
      </c>
      <c r="B53">
        <f t="shared" si="8"/>
        <v>53965</v>
      </c>
      <c r="C53">
        <f t="shared" si="9"/>
        <v>119939</v>
      </c>
      <c r="D53">
        <f t="shared" si="10"/>
        <v>236950</v>
      </c>
      <c r="E53">
        <f t="shared" si="11"/>
        <v>438857</v>
      </c>
      <c r="F53">
        <f t="shared" si="12"/>
        <v>1683</v>
      </c>
      <c r="G53">
        <f t="shared" si="13"/>
        <v>3970</v>
      </c>
      <c r="H53">
        <f t="shared" si="14"/>
        <v>8297</v>
      </c>
      <c r="I53">
        <f t="shared" si="15"/>
        <v>16205</v>
      </c>
    </row>
    <row r="54" spans="1:9" x14ac:dyDescent="0.25">
      <c r="A54" s="36">
        <v>53</v>
      </c>
      <c r="B54">
        <f t="shared" si="8"/>
        <v>55668</v>
      </c>
      <c r="C54">
        <f t="shared" si="9"/>
        <v>123964</v>
      </c>
      <c r="D54">
        <f t="shared" si="10"/>
        <v>245378</v>
      </c>
      <c r="E54">
        <f t="shared" si="11"/>
        <v>455351</v>
      </c>
      <c r="F54">
        <f t="shared" si="12"/>
        <v>1703</v>
      </c>
      <c r="G54">
        <f t="shared" si="13"/>
        <v>4025</v>
      </c>
      <c r="H54">
        <f t="shared" si="14"/>
        <v>8428</v>
      </c>
      <c r="I54">
        <f t="shared" si="15"/>
        <v>16494</v>
      </c>
    </row>
    <row r="55" spans="1:9" x14ac:dyDescent="0.25">
      <c r="A55" s="42">
        <v>54</v>
      </c>
      <c r="B55">
        <f t="shared" si="8"/>
        <v>57391</v>
      </c>
      <c r="C55">
        <f t="shared" si="9"/>
        <v>128044</v>
      </c>
      <c r="D55">
        <f t="shared" si="10"/>
        <v>253937</v>
      </c>
      <c r="E55">
        <f t="shared" si="11"/>
        <v>472133</v>
      </c>
      <c r="F55">
        <f t="shared" si="12"/>
        <v>1723</v>
      </c>
      <c r="G55">
        <f t="shared" si="13"/>
        <v>4080</v>
      </c>
      <c r="H55">
        <f t="shared" si="14"/>
        <v>8559</v>
      </c>
      <c r="I55">
        <f t="shared" si="15"/>
        <v>16782</v>
      </c>
    </row>
    <row r="56" spans="1:9" x14ac:dyDescent="0.25">
      <c r="A56" s="36">
        <v>55</v>
      </c>
      <c r="B56">
        <f t="shared" si="8"/>
        <v>59133</v>
      </c>
      <c r="C56">
        <f t="shared" si="9"/>
        <v>132178</v>
      </c>
      <c r="D56">
        <f t="shared" si="10"/>
        <v>262627</v>
      </c>
      <c r="E56">
        <f t="shared" si="11"/>
        <v>489202</v>
      </c>
      <c r="F56">
        <f t="shared" si="12"/>
        <v>1742</v>
      </c>
      <c r="G56">
        <f t="shared" si="13"/>
        <v>4134</v>
      </c>
      <c r="H56">
        <f t="shared" si="14"/>
        <v>8690</v>
      </c>
      <c r="I56">
        <f t="shared" si="15"/>
        <v>17069</v>
      </c>
    </row>
    <row r="57" spans="1:9" x14ac:dyDescent="0.25">
      <c r="A57" s="42">
        <v>56</v>
      </c>
      <c r="B57">
        <f t="shared" si="8"/>
        <v>60895</v>
      </c>
      <c r="C57">
        <f t="shared" si="9"/>
        <v>136367</v>
      </c>
      <c r="D57">
        <f t="shared" si="10"/>
        <v>271446</v>
      </c>
      <c r="E57">
        <f t="shared" si="11"/>
        <v>506558</v>
      </c>
      <c r="F57">
        <f t="shared" si="12"/>
        <v>1762</v>
      </c>
      <c r="G57">
        <f t="shared" si="13"/>
        <v>4189</v>
      </c>
      <c r="H57">
        <f t="shared" si="14"/>
        <v>8819</v>
      </c>
      <c r="I57">
        <f t="shared" si="15"/>
        <v>17356</v>
      </c>
    </row>
    <row r="58" spans="1:9" x14ac:dyDescent="0.25">
      <c r="A58" s="36">
        <v>57</v>
      </c>
      <c r="B58">
        <f t="shared" si="8"/>
        <v>62676</v>
      </c>
      <c r="C58">
        <f t="shared" si="9"/>
        <v>140608</v>
      </c>
      <c r="D58">
        <f t="shared" si="10"/>
        <v>280394</v>
      </c>
      <c r="E58">
        <f t="shared" si="11"/>
        <v>524200</v>
      </c>
      <c r="F58">
        <f t="shared" si="12"/>
        <v>1781</v>
      </c>
      <c r="G58">
        <f t="shared" si="13"/>
        <v>4241</v>
      </c>
      <c r="H58">
        <f t="shared" si="14"/>
        <v>8948</v>
      </c>
      <c r="I58">
        <f t="shared" si="15"/>
        <v>17642</v>
      </c>
    </row>
    <row r="59" spans="1:9" x14ac:dyDescent="0.25">
      <c r="A59" s="42">
        <v>58</v>
      </c>
      <c r="B59">
        <f t="shared" si="8"/>
        <v>64476</v>
      </c>
      <c r="C59">
        <f t="shared" si="9"/>
        <v>144903</v>
      </c>
      <c r="D59">
        <f t="shared" si="10"/>
        <v>289471</v>
      </c>
      <c r="E59">
        <f t="shared" si="11"/>
        <v>542128</v>
      </c>
      <c r="F59">
        <f t="shared" si="12"/>
        <v>1800</v>
      </c>
      <c r="G59">
        <f t="shared" si="13"/>
        <v>4295</v>
      </c>
      <c r="H59">
        <f t="shared" si="14"/>
        <v>9077</v>
      </c>
      <c r="I59">
        <f t="shared" si="15"/>
        <v>17928</v>
      </c>
    </row>
    <row r="60" spans="1:9" x14ac:dyDescent="0.25">
      <c r="A60" s="36">
        <v>59</v>
      </c>
      <c r="B60">
        <f t="shared" si="8"/>
        <v>66296</v>
      </c>
      <c r="C60">
        <f t="shared" si="9"/>
        <v>149252</v>
      </c>
      <c r="D60">
        <f t="shared" si="10"/>
        <v>298676</v>
      </c>
      <c r="E60">
        <f t="shared" si="11"/>
        <v>560342</v>
      </c>
      <c r="F60">
        <f t="shared" si="12"/>
        <v>1820</v>
      </c>
      <c r="G60">
        <f t="shared" si="13"/>
        <v>4349</v>
      </c>
      <c r="H60">
        <f t="shared" si="14"/>
        <v>9205</v>
      </c>
      <c r="I60">
        <f t="shared" si="15"/>
        <v>18214</v>
      </c>
    </row>
    <row r="61" spans="1:9" x14ac:dyDescent="0.25">
      <c r="A61" s="42">
        <v>60</v>
      </c>
      <c r="B61">
        <f t="shared" si="8"/>
        <v>68134</v>
      </c>
      <c r="C61">
        <f t="shared" si="9"/>
        <v>153653</v>
      </c>
      <c r="D61">
        <f t="shared" si="10"/>
        <v>308009</v>
      </c>
      <c r="E61">
        <f t="shared" si="11"/>
        <v>578840</v>
      </c>
      <c r="F61">
        <f t="shared" si="12"/>
        <v>1838</v>
      </c>
      <c r="G61">
        <f t="shared" si="13"/>
        <v>4401</v>
      </c>
      <c r="H61">
        <f t="shared" si="14"/>
        <v>9333</v>
      </c>
      <c r="I61">
        <f t="shared" si="15"/>
        <v>18498</v>
      </c>
    </row>
    <row r="62" spans="1:9" x14ac:dyDescent="0.25">
      <c r="A62" s="36">
        <v>61</v>
      </c>
      <c r="B62">
        <f t="shared" si="8"/>
        <v>69991</v>
      </c>
      <c r="C62">
        <f t="shared" si="9"/>
        <v>158106</v>
      </c>
      <c r="D62">
        <f t="shared" si="10"/>
        <v>317470</v>
      </c>
      <c r="E62">
        <f t="shared" si="11"/>
        <v>597623</v>
      </c>
      <c r="F62">
        <f t="shared" si="12"/>
        <v>1857</v>
      </c>
      <c r="G62">
        <f t="shared" si="13"/>
        <v>4453</v>
      </c>
      <c r="H62">
        <f t="shared" si="14"/>
        <v>9461</v>
      </c>
      <c r="I62">
        <f t="shared" si="15"/>
        <v>18783</v>
      </c>
    </row>
    <row r="63" spans="1:9" x14ac:dyDescent="0.25">
      <c r="A63" s="42">
        <v>62</v>
      </c>
      <c r="B63">
        <f t="shared" si="8"/>
        <v>71867</v>
      </c>
      <c r="C63">
        <f t="shared" si="9"/>
        <v>162612</v>
      </c>
      <c r="D63">
        <f t="shared" si="10"/>
        <v>327057</v>
      </c>
      <c r="E63">
        <f t="shared" si="11"/>
        <v>616690</v>
      </c>
      <c r="F63">
        <f t="shared" si="12"/>
        <v>1876</v>
      </c>
      <c r="G63">
        <f t="shared" si="13"/>
        <v>4506</v>
      </c>
      <c r="H63">
        <f t="shared" si="14"/>
        <v>9587</v>
      </c>
      <c r="I63">
        <f t="shared" si="15"/>
        <v>19067</v>
      </c>
    </row>
    <row r="64" spans="1:9" x14ac:dyDescent="0.25">
      <c r="A64" s="36">
        <v>63</v>
      </c>
      <c r="B64">
        <f t="shared" si="8"/>
        <v>73761</v>
      </c>
      <c r="C64">
        <f t="shared" si="9"/>
        <v>167170</v>
      </c>
      <c r="D64">
        <f t="shared" si="10"/>
        <v>336771</v>
      </c>
      <c r="E64">
        <f t="shared" si="11"/>
        <v>636040</v>
      </c>
      <c r="F64">
        <f t="shared" si="12"/>
        <v>1894</v>
      </c>
      <c r="G64">
        <f t="shared" si="13"/>
        <v>4558</v>
      </c>
      <c r="H64">
        <f t="shared" si="14"/>
        <v>9714</v>
      </c>
      <c r="I64">
        <f t="shared" si="15"/>
        <v>19350</v>
      </c>
    </row>
    <row r="65" spans="1:9" x14ac:dyDescent="0.25">
      <c r="A65" s="42">
        <v>64</v>
      </c>
      <c r="B65">
        <f t="shared" si="8"/>
        <v>75674</v>
      </c>
      <c r="C65">
        <f t="shared" si="9"/>
        <v>171779</v>
      </c>
      <c r="D65">
        <f t="shared" si="10"/>
        <v>346612</v>
      </c>
      <c r="E65">
        <f t="shared" si="11"/>
        <v>655673</v>
      </c>
      <c r="F65">
        <f t="shared" si="12"/>
        <v>1913</v>
      </c>
      <c r="G65">
        <f t="shared" si="13"/>
        <v>4609</v>
      </c>
      <c r="H65">
        <f t="shared" si="14"/>
        <v>9841</v>
      </c>
      <c r="I65">
        <f t="shared" si="15"/>
        <v>19633</v>
      </c>
    </row>
    <row r="66" spans="1:9" x14ac:dyDescent="0.25">
      <c r="A66" s="36">
        <v>65</v>
      </c>
      <c r="B66">
        <f t="shared" ref="B66:B97" si="16">ROUND( $N$3*POWER(A66-1,$N$4), 0)</f>
        <v>77605</v>
      </c>
      <c r="C66">
        <f t="shared" ref="C66:C101" si="17">ROUND($O$3*POWER(A66 -1,$O$4), 0)</f>
        <v>176440</v>
      </c>
      <c r="D66">
        <f t="shared" ref="D66:D101" si="18">ROUND($P$3 * POWER(A66 - 1, $P$4), 0)</f>
        <v>356578</v>
      </c>
      <c r="E66">
        <f t="shared" ref="E66:E101" si="19">ROUND($Q$3 * POWER(A66 - 1, $Q$4), 0)</f>
        <v>675588</v>
      </c>
      <c r="F66">
        <f t="shared" si="12"/>
        <v>1931</v>
      </c>
      <c r="G66">
        <f t="shared" si="13"/>
        <v>4661</v>
      </c>
      <c r="H66">
        <f t="shared" si="14"/>
        <v>9966</v>
      </c>
      <c r="I66">
        <f t="shared" si="15"/>
        <v>19915</v>
      </c>
    </row>
    <row r="67" spans="1:9" x14ac:dyDescent="0.25">
      <c r="A67" s="42">
        <v>66</v>
      </c>
      <c r="B67">
        <f t="shared" si="16"/>
        <v>79554</v>
      </c>
      <c r="C67">
        <f t="shared" si="17"/>
        <v>181152</v>
      </c>
      <c r="D67">
        <f t="shared" si="18"/>
        <v>366669</v>
      </c>
      <c r="E67">
        <f t="shared" si="19"/>
        <v>695786</v>
      </c>
      <c r="F67">
        <f t="shared" ref="F67:F101" si="20">B67-B66</f>
        <v>1949</v>
      </c>
      <c r="G67">
        <f t="shared" ref="G67:G101" si="21">C67-C66</f>
        <v>4712</v>
      </c>
      <c r="H67">
        <f t="shared" ref="H67:H101" si="22">D67-D66</f>
        <v>10091</v>
      </c>
      <c r="I67">
        <f t="shared" ref="I67:I101" si="23">E67-E66</f>
        <v>20198</v>
      </c>
    </row>
    <row r="68" spans="1:9" x14ac:dyDescent="0.25">
      <c r="A68" s="36">
        <v>67</v>
      </c>
      <c r="B68">
        <f t="shared" si="16"/>
        <v>81521</v>
      </c>
      <c r="C68">
        <f t="shared" si="17"/>
        <v>185916</v>
      </c>
      <c r="D68">
        <f t="shared" si="18"/>
        <v>376885</v>
      </c>
      <c r="E68">
        <f t="shared" si="19"/>
        <v>716265</v>
      </c>
      <c r="F68">
        <f t="shared" si="20"/>
        <v>1967</v>
      </c>
      <c r="G68">
        <f t="shared" si="21"/>
        <v>4764</v>
      </c>
      <c r="H68">
        <f t="shared" si="22"/>
        <v>10216</v>
      </c>
      <c r="I68">
        <f t="shared" si="23"/>
        <v>20479</v>
      </c>
    </row>
    <row r="69" spans="1:9" x14ac:dyDescent="0.25">
      <c r="A69" s="42">
        <v>68</v>
      </c>
      <c r="B69">
        <f t="shared" si="16"/>
        <v>83506</v>
      </c>
      <c r="C69">
        <f t="shared" si="17"/>
        <v>190730</v>
      </c>
      <c r="D69">
        <f t="shared" si="18"/>
        <v>387226</v>
      </c>
      <c r="E69">
        <f t="shared" si="19"/>
        <v>737025</v>
      </c>
      <c r="F69">
        <f t="shared" si="20"/>
        <v>1985</v>
      </c>
      <c r="G69">
        <f t="shared" si="21"/>
        <v>4814</v>
      </c>
      <c r="H69">
        <f t="shared" si="22"/>
        <v>10341</v>
      </c>
      <c r="I69">
        <f t="shared" si="23"/>
        <v>20760</v>
      </c>
    </row>
    <row r="70" spans="1:9" x14ac:dyDescent="0.25">
      <c r="A70" s="36">
        <v>69</v>
      </c>
      <c r="B70">
        <f t="shared" si="16"/>
        <v>85509</v>
      </c>
      <c r="C70">
        <f t="shared" si="17"/>
        <v>195594</v>
      </c>
      <c r="D70">
        <f t="shared" si="18"/>
        <v>397691</v>
      </c>
      <c r="E70">
        <f t="shared" si="19"/>
        <v>758066</v>
      </c>
      <c r="F70">
        <f t="shared" si="20"/>
        <v>2003</v>
      </c>
      <c r="G70">
        <f t="shared" si="21"/>
        <v>4864</v>
      </c>
      <c r="H70">
        <f t="shared" si="22"/>
        <v>10465</v>
      </c>
      <c r="I70">
        <f t="shared" si="23"/>
        <v>21041</v>
      </c>
    </row>
    <row r="71" spans="1:9" x14ac:dyDescent="0.25">
      <c r="A71" s="42">
        <v>70</v>
      </c>
      <c r="B71">
        <f t="shared" si="16"/>
        <v>87530</v>
      </c>
      <c r="C71">
        <f t="shared" si="17"/>
        <v>200509</v>
      </c>
      <c r="D71">
        <f t="shared" si="18"/>
        <v>408280</v>
      </c>
      <c r="E71">
        <f t="shared" si="19"/>
        <v>779387</v>
      </c>
      <c r="F71">
        <f t="shared" si="20"/>
        <v>2021</v>
      </c>
      <c r="G71">
        <f t="shared" si="21"/>
        <v>4915</v>
      </c>
      <c r="H71">
        <f t="shared" si="22"/>
        <v>10589</v>
      </c>
      <c r="I71">
        <f t="shared" si="23"/>
        <v>21321</v>
      </c>
    </row>
    <row r="72" spans="1:9" x14ac:dyDescent="0.25">
      <c r="A72" s="36">
        <v>71</v>
      </c>
      <c r="B72">
        <f t="shared" si="16"/>
        <v>89569</v>
      </c>
      <c r="C72">
        <f t="shared" si="17"/>
        <v>205474</v>
      </c>
      <c r="D72">
        <f t="shared" si="18"/>
        <v>418993</v>
      </c>
      <c r="E72">
        <f t="shared" si="19"/>
        <v>800989</v>
      </c>
      <c r="F72">
        <f t="shared" si="20"/>
        <v>2039</v>
      </c>
      <c r="G72">
        <f t="shared" si="21"/>
        <v>4965</v>
      </c>
      <c r="H72">
        <f t="shared" si="22"/>
        <v>10713</v>
      </c>
      <c r="I72">
        <f t="shared" si="23"/>
        <v>21602</v>
      </c>
    </row>
    <row r="73" spans="1:9" x14ac:dyDescent="0.25">
      <c r="A73" s="42">
        <v>72</v>
      </c>
      <c r="B73">
        <f t="shared" si="16"/>
        <v>91625</v>
      </c>
      <c r="C73">
        <f t="shared" si="17"/>
        <v>210490</v>
      </c>
      <c r="D73">
        <f t="shared" si="18"/>
        <v>429828</v>
      </c>
      <c r="E73">
        <f t="shared" si="19"/>
        <v>822869</v>
      </c>
      <c r="F73">
        <f t="shared" si="20"/>
        <v>2056</v>
      </c>
      <c r="G73">
        <f t="shared" si="21"/>
        <v>5016</v>
      </c>
      <c r="H73">
        <f t="shared" si="22"/>
        <v>10835</v>
      </c>
      <c r="I73">
        <f t="shared" si="23"/>
        <v>21880</v>
      </c>
    </row>
    <row r="74" spans="1:9" x14ac:dyDescent="0.25">
      <c r="A74" s="36">
        <v>73</v>
      </c>
      <c r="B74">
        <f t="shared" si="16"/>
        <v>93698</v>
      </c>
      <c r="C74">
        <f t="shared" si="17"/>
        <v>215554</v>
      </c>
      <c r="D74">
        <f t="shared" si="18"/>
        <v>440787</v>
      </c>
      <c r="E74">
        <f t="shared" si="19"/>
        <v>845029</v>
      </c>
      <c r="F74">
        <f t="shared" si="20"/>
        <v>2073</v>
      </c>
      <c r="G74">
        <f t="shared" si="21"/>
        <v>5064</v>
      </c>
      <c r="H74">
        <f t="shared" si="22"/>
        <v>10959</v>
      </c>
      <c r="I74">
        <f t="shared" si="23"/>
        <v>22160</v>
      </c>
    </row>
    <row r="75" spans="1:9" x14ac:dyDescent="0.25">
      <c r="A75" s="42">
        <v>74</v>
      </c>
      <c r="B75">
        <f t="shared" si="16"/>
        <v>95789</v>
      </c>
      <c r="C75">
        <f t="shared" si="17"/>
        <v>220668</v>
      </c>
      <c r="D75">
        <f t="shared" si="18"/>
        <v>451868</v>
      </c>
      <c r="E75">
        <f t="shared" si="19"/>
        <v>867468</v>
      </c>
      <c r="F75">
        <f t="shared" si="20"/>
        <v>2091</v>
      </c>
      <c r="G75">
        <f t="shared" si="21"/>
        <v>5114</v>
      </c>
      <c r="H75">
        <f t="shared" si="22"/>
        <v>11081</v>
      </c>
      <c r="I75">
        <f t="shared" si="23"/>
        <v>22439</v>
      </c>
    </row>
    <row r="76" spans="1:9" x14ac:dyDescent="0.25">
      <c r="A76" s="36">
        <v>75</v>
      </c>
      <c r="B76">
        <f t="shared" si="16"/>
        <v>97897</v>
      </c>
      <c r="C76">
        <f t="shared" si="17"/>
        <v>225832</v>
      </c>
      <c r="D76">
        <f t="shared" si="18"/>
        <v>463070</v>
      </c>
      <c r="E76">
        <f t="shared" si="19"/>
        <v>890185</v>
      </c>
      <c r="F76">
        <f t="shared" si="20"/>
        <v>2108</v>
      </c>
      <c r="G76">
        <f t="shared" si="21"/>
        <v>5164</v>
      </c>
      <c r="H76">
        <f t="shared" si="22"/>
        <v>11202</v>
      </c>
      <c r="I76">
        <f t="shared" si="23"/>
        <v>22717</v>
      </c>
    </row>
    <row r="77" spans="1:9" x14ac:dyDescent="0.25">
      <c r="A77" s="42">
        <v>76</v>
      </c>
      <c r="B77">
        <f t="shared" si="16"/>
        <v>100023</v>
      </c>
      <c r="C77">
        <f t="shared" si="17"/>
        <v>231044</v>
      </c>
      <c r="D77">
        <f t="shared" si="18"/>
        <v>474395</v>
      </c>
      <c r="E77">
        <f t="shared" si="19"/>
        <v>913180</v>
      </c>
      <c r="F77">
        <f t="shared" si="20"/>
        <v>2126</v>
      </c>
      <c r="G77">
        <f t="shared" si="21"/>
        <v>5212</v>
      </c>
      <c r="H77">
        <f t="shared" si="22"/>
        <v>11325</v>
      </c>
      <c r="I77">
        <f t="shared" si="23"/>
        <v>22995</v>
      </c>
    </row>
    <row r="78" spans="1:9" x14ac:dyDescent="0.25">
      <c r="A78" s="36">
        <v>77</v>
      </c>
      <c r="B78">
        <f t="shared" si="16"/>
        <v>102165</v>
      </c>
      <c r="C78">
        <f t="shared" si="17"/>
        <v>236306</v>
      </c>
      <c r="D78">
        <f t="shared" si="18"/>
        <v>485841</v>
      </c>
      <c r="E78">
        <f t="shared" si="19"/>
        <v>936453</v>
      </c>
      <c r="F78">
        <f t="shared" si="20"/>
        <v>2142</v>
      </c>
      <c r="G78">
        <f t="shared" si="21"/>
        <v>5262</v>
      </c>
      <c r="H78">
        <f t="shared" si="22"/>
        <v>11446</v>
      </c>
      <c r="I78">
        <f t="shared" si="23"/>
        <v>23273</v>
      </c>
    </row>
    <row r="79" spans="1:9" x14ac:dyDescent="0.25">
      <c r="A79" s="42">
        <v>78</v>
      </c>
      <c r="B79">
        <f t="shared" si="16"/>
        <v>104324</v>
      </c>
      <c r="C79">
        <f t="shared" si="17"/>
        <v>241616</v>
      </c>
      <c r="D79">
        <f t="shared" si="18"/>
        <v>497409</v>
      </c>
      <c r="E79">
        <f t="shared" si="19"/>
        <v>960003</v>
      </c>
      <c r="F79">
        <f t="shared" si="20"/>
        <v>2159</v>
      </c>
      <c r="G79">
        <f t="shared" si="21"/>
        <v>5310</v>
      </c>
      <c r="H79">
        <f t="shared" si="22"/>
        <v>11568</v>
      </c>
      <c r="I79">
        <f t="shared" si="23"/>
        <v>23550</v>
      </c>
    </row>
    <row r="80" spans="1:9" x14ac:dyDescent="0.25">
      <c r="A80" s="36">
        <v>79</v>
      </c>
      <c r="B80">
        <f t="shared" si="16"/>
        <v>106500</v>
      </c>
      <c r="C80">
        <f t="shared" si="17"/>
        <v>246974</v>
      </c>
      <c r="D80">
        <f t="shared" si="18"/>
        <v>509097</v>
      </c>
      <c r="E80">
        <f t="shared" si="19"/>
        <v>983829</v>
      </c>
      <c r="F80">
        <f t="shared" si="20"/>
        <v>2176</v>
      </c>
      <c r="G80">
        <f t="shared" si="21"/>
        <v>5358</v>
      </c>
      <c r="H80">
        <f t="shared" si="22"/>
        <v>11688</v>
      </c>
      <c r="I80">
        <f t="shared" si="23"/>
        <v>23826</v>
      </c>
    </row>
    <row r="81" spans="1:9" x14ac:dyDescent="0.25">
      <c r="A81" s="42">
        <v>80</v>
      </c>
      <c r="B81">
        <f t="shared" si="16"/>
        <v>108693</v>
      </c>
      <c r="C81">
        <f t="shared" si="17"/>
        <v>252381</v>
      </c>
      <c r="D81">
        <f t="shared" si="18"/>
        <v>520905</v>
      </c>
      <c r="E81">
        <f t="shared" si="19"/>
        <v>1007933</v>
      </c>
      <c r="F81">
        <f t="shared" si="20"/>
        <v>2193</v>
      </c>
      <c r="G81">
        <f t="shared" si="21"/>
        <v>5407</v>
      </c>
      <c r="H81">
        <f t="shared" si="22"/>
        <v>11808</v>
      </c>
      <c r="I81">
        <f t="shared" si="23"/>
        <v>24104</v>
      </c>
    </row>
    <row r="82" spans="1:9" x14ac:dyDescent="0.25">
      <c r="A82" s="36">
        <v>81</v>
      </c>
      <c r="B82">
        <f t="shared" si="16"/>
        <v>110903</v>
      </c>
      <c r="C82">
        <f t="shared" si="17"/>
        <v>257836</v>
      </c>
      <c r="D82">
        <f t="shared" si="18"/>
        <v>532834</v>
      </c>
      <c r="E82">
        <f t="shared" si="19"/>
        <v>1032312</v>
      </c>
      <c r="F82">
        <f t="shared" si="20"/>
        <v>2210</v>
      </c>
      <c r="G82">
        <f t="shared" si="21"/>
        <v>5455</v>
      </c>
      <c r="H82">
        <f t="shared" si="22"/>
        <v>11929</v>
      </c>
      <c r="I82">
        <f t="shared" si="23"/>
        <v>24379</v>
      </c>
    </row>
    <row r="83" spans="1:9" x14ac:dyDescent="0.25">
      <c r="A83" s="42">
        <v>82</v>
      </c>
      <c r="B83">
        <f t="shared" si="16"/>
        <v>113130</v>
      </c>
      <c r="C83">
        <f t="shared" si="17"/>
        <v>263339</v>
      </c>
      <c r="D83">
        <f t="shared" si="18"/>
        <v>544883</v>
      </c>
      <c r="E83">
        <f t="shared" si="19"/>
        <v>1056967</v>
      </c>
      <c r="F83">
        <f t="shared" si="20"/>
        <v>2227</v>
      </c>
      <c r="G83">
        <f t="shared" si="21"/>
        <v>5503</v>
      </c>
      <c r="H83">
        <f t="shared" si="22"/>
        <v>12049</v>
      </c>
      <c r="I83">
        <f t="shared" si="23"/>
        <v>24655</v>
      </c>
    </row>
    <row r="84" spans="1:9" x14ac:dyDescent="0.25">
      <c r="A84" s="36">
        <v>83</v>
      </c>
      <c r="B84">
        <f t="shared" si="16"/>
        <v>115372</v>
      </c>
      <c r="C84">
        <f t="shared" si="17"/>
        <v>268890</v>
      </c>
      <c r="D84">
        <f t="shared" si="18"/>
        <v>557051</v>
      </c>
      <c r="E84">
        <f t="shared" si="19"/>
        <v>1081898</v>
      </c>
      <c r="F84">
        <f t="shared" si="20"/>
        <v>2242</v>
      </c>
      <c r="G84">
        <f t="shared" si="21"/>
        <v>5551</v>
      </c>
      <c r="H84">
        <f t="shared" si="22"/>
        <v>12168</v>
      </c>
      <c r="I84">
        <f t="shared" si="23"/>
        <v>24931</v>
      </c>
    </row>
    <row r="85" spans="1:9" x14ac:dyDescent="0.25">
      <c r="A85" s="42">
        <v>84</v>
      </c>
      <c r="B85">
        <f t="shared" si="16"/>
        <v>117632</v>
      </c>
      <c r="C85">
        <f t="shared" si="17"/>
        <v>274488</v>
      </c>
      <c r="D85">
        <f t="shared" si="18"/>
        <v>569339</v>
      </c>
      <c r="E85">
        <f t="shared" si="19"/>
        <v>1107104</v>
      </c>
      <c r="F85">
        <f t="shared" si="20"/>
        <v>2260</v>
      </c>
      <c r="G85">
        <f t="shared" si="21"/>
        <v>5598</v>
      </c>
      <c r="H85">
        <f t="shared" si="22"/>
        <v>12288</v>
      </c>
      <c r="I85">
        <f t="shared" si="23"/>
        <v>25206</v>
      </c>
    </row>
    <row r="86" spans="1:9" x14ac:dyDescent="0.25">
      <c r="A86" s="36">
        <v>85</v>
      </c>
      <c r="B86">
        <f t="shared" si="16"/>
        <v>119908</v>
      </c>
      <c r="C86">
        <f t="shared" si="17"/>
        <v>280134</v>
      </c>
      <c r="D86">
        <f t="shared" si="18"/>
        <v>581745</v>
      </c>
      <c r="E86">
        <f t="shared" si="19"/>
        <v>1132585</v>
      </c>
      <c r="F86">
        <f t="shared" si="20"/>
        <v>2276</v>
      </c>
      <c r="G86">
        <f t="shared" si="21"/>
        <v>5646</v>
      </c>
      <c r="H86">
        <f t="shared" si="22"/>
        <v>12406</v>
      </c>
      <c r="I86">
        <f t="shared" si="23"/>
        <v>25481</v>
      </c>
    </row>
    <row r="87" spans="1:9" x14ac:dyDescent="0.25">
      <c r="A87" s="42">
        <v>86</v>
      </c>
      <c r="B87">
        <f t="shared" si="16"/>
        <v>122200</v>
      </c>
      <c r="C87">
        <f t="shared" si="17"/>
        <v>285827</v>
      </c>
      <c r="D87">
        <f t="shared" si="18"/>
        <v>594270</v>
      </c>
      <c r="E87">
        <f t="shared" si="19"/>
        <v>1158340</v>
      </c>
      <c r="F87">
        <f t="shared" si="20"/>
        <v>2292</v>
      </c>
      <c r="G87">
        <f t="shared" si="21"/>
        <v>5693</v>
      </c>
      <c r="H87">
        <f t="shared" si="22"/>
        <v>12525</v>
      </c>
      <c r="I87">
        <f t="shared" si="23"/>
        <v>25755</v>
      </c>
    </row>
    <row r="88" spans="1:9" x14ac:dyDescent="0.25">
      <c r="A88" s="36">
        <v>87</v>
      </c>
      <c r="B88">
        <f t="shared" si="16"/>
        <v>124508</v>
      </c>
      <c r="C88">
        <f t="shared" si="17"/>
        <v>291567</v>
      </c>
      <c r="D88">
        <f t="shared" si="18"/>
        <v>606914</v>
      </c>
      <c r="E88">
        <f t="shared" si="19"/>
        <v>1184369</v>
      </c>
      <c r="F88">
        <f t="shared" si="20"/>
        <v>2308</v>
      </c>
      <c r="G88">
        <f t="shared" si="21"/>
        <v>5740</v>
      </c>
      <c r="H88">
        <f t="shared" si="22"/>
        <v>12644</v>
      </c>
      <c r="I88">
        <f t="shared" si="23"/>
        <v>26029</v>
      </c>
    </row>
    <row r="89" spans="1:9" x14ac:dyDescent="0.25">
      <c r="A89" s="42">
        <v>88</v>
      </c>
      <c r="B89">
        <f t="shared" si="16"/>
        <v>126833</v>
      </c>
      <c r="C89">
        <f t="shared" si="17"/>
        <v>297354</v>
      </c>
      <c r="D89">
        <f t="shared" si="18"/>
        <v>619676</v>
      </c>
      <c r="E89">
        <f t="shared" si="19"/>
        <v>1210672</v>
      </c>
      <c r="F89">
        <f t="shared" si="20"/>
        <v>2325</v>
      </c>
      <c r="G89">
        <f t="shared" si="21"/>
        <v>5787</v>
      </c>
      <c r="H89">
        <f t="shared" si="22"/>
        <v>12762</v>
      </c>
      <c r="I89">
        <f t="shared" si="23"/>
        <v>26303</v>
      </c>
    </row>
    <row r="90" spans="1:9" x14ac:dyDescent="0.25">
      <c r="A90" s="36">
        <v>89</v>
      </c>
      <c r="B90">
        <f t="shared" si="16"/>
        <v>129173</v>
      </c>
      <c r="C90">
        <f t="shared" si="17"/>
        <v>303188</v>
      </c>
      <c r="D90">
        <f t="shared" si="18"/>
        <v>632556</v>
      </c>
      <c r="E90">
        <f t="shared" si="19"/>
        <v>1237249</v>
      </c>
      <c r="F90">
        <f t="shared" si="20"/>
        <v>2340</v>
      </c>
      <c r="G90">
        <f t="shared" si="21"/>
        <v>5834</v>
      </c>
      <c r="H90">
        <f t="shared" si="22"/>
        <v>12880</v>
      </c>
      <c r="I90">
        <f t="shared" si="23"/>
        <v>26577</v>
      </c>
    </row>
    <row r="91" spans="1:9" x14ac:dyDescent="0.25">
      <c r="A91" s="42">
        <v>90</v>
      </c>
      <c r="B91">
        <f t="shared" si="16"/>
        <v>131530</v>
      </c>
      <c r="C91">
        <f t="shared" si="17"/>
        <v>309068</v>
      </c>
      <c r="D91">
        <f t="shared" si="18"/>
        <v>645553</v>
      </c>
      <c r="E91">
        <f t="shared" si="19"/>
        <v>1264099</v>
      </c>
      <c r="F91">
        <f t="shared" si="20"/>
        <v>2357</v>
      </c>
      <c r="G91">
        <f t="shared" si="21"/>
        <v>5880</v>
      </c>
      <c r="H91">
        <f t="shared" si="22"/>
        <v>12997</v>
      </c>
      <c r="I91">
        <f t="shared" si="23"/>
        <v>26850</v>
      </c>
    </row>
    <row r="92" spans="1:9" x14ac:dyDescent="0.25">
      <c r="A92" s="36">
        <v>91</v>
      </c>
      <c r="B92">
        <f t="shared" si="16"/>
        <v>133902</v>
      </c>
      <c r="C92">
        <f t="shared" si="17"/>
        <v>314995</v>
      </c>
      <c r="D92">
        <f t="shared" si="18"/>
        <v>658668</v>
      </c>
      <c r="E92">
        <f t="shared" si="19"/>
        <v>1291222</v>
      </c>
      <c r="F92">
        <f t="shared" si="20"/>
        <v>2372</v>
      </c>
      <c r="G92">
        <f t="shared" si="21"/>
        <v>5927</v>
      </c>
      <c r="H92">
        <f t="shared" si="22"/>
        <v>13115</v>
      </c>
      <c r="I92">
        <f t="shared" si="23"/>
        <v>27123</v>
      </c>
    </row>
    <row r="93" spans="1:9" x14ac:dyDescent="0.25">
      <c r="A93" s="42">
        <v>92</v>
      </c>
      <c r="B93">
        <f t="shared" si="16"/>
        <v>136291</v>
      </c>
      <c r="C93">
        <f t="shared" si="17"/>
        <v>320968</v>
      </c>
      <c r="D93">
        <f t="shared" si="18"/>
        <v>671900</v>
      </c>
      <c r="E93">
        <f t="shared" si="19"/>
        <v>1318617</v>
      </c>
      <c r="F93">
        <f t="shared" si="20"/>
        <v>2389</v>
      </c>
      <c r="G93">
        <f t="shared" si="21"/>
        <v>5973</v>
      </c>
      <c r="H93">
        <f t="shared" si="22"/>
        <v>13232</v>
      </c>
      <c r="I93">
        <f t="shared" si="23"/>
        <v>27395</v>
      </c>
    </row>
    <row r="94" spans="1:9" x14ac:dyDescent="0.25">
      <c r="A94" s="36">
        <v>93</v>
      </c>
      <c r="B94">
        <f t="shared" si="16"/>
        <v>138695</v>
      </c>
      <c r="C94">
        <f t="shared" si="17"/>
        <v>326987</v>
      </c>
      <c r="D94">
        <f t="shared" si="18"/>
        <v>685248</v>
      </c>
      <c r="E94">
        <f t="shared" si="19"/>
        <v>1346285</v>
      </c>
      <c r="F94">
        <f t="shared" si="20"/>
        <v>2404</v>
      </c>
      <c r="G94">
        <f t="shared" si="21"/>
        <v>6019</v>
      </c>
      <c r="H94">
        <f t="shared" si="22"/>
        <v>13348</v>
      </c>
      <c r="I94">
        <f t="shared" si="23"/>
        <v>27668</v>
      </c>
    </row>
    <row r="95" spans="1:9" x14ac:dyDescent="0.25">
      <c r="A95" s="42">
        <v>94</v>
      </c>
      <c r="B95">
        <f t="shared" si="16"/>
        <v>141115</v>
      </c>
      <c r="C95">
        <f t="shared" si="17"/>
        <v>333052</v>
      </c>
      <c r="D95">
        <f t="shared" si="18"/>
        <v>698714</v>
      </c>
      <c r="E95">
        <f t="shared" si="19"/>
        <v>1374224</v>
      </c>
      <c r="F95">
        <f t="shared" si="20"/>
        <v>2420</v>
      </c>
      <c r="G95">
        <f t="shared" si="21"/>
        <v>6065</v>
      </c>
      <c r="H95">
        <f t="shared" si="22"/>
        <v>13466</v>
      </c>
      <c r="I95">
        <f t="shared" si="23"/>
        <v>27939</v>
      </c>
    </row>
    <row r="96" spans="1:9" x14ac:dyDescent="0.25">
      <c r="A96" s="36">
        <v>95</v>
      </c>
      <c r="B96">
        <f t="shared" si="16"/>
        <v>143550</v>
      </c>
      <c r="C96">
        <f t="shared" si="17"/>
        <v>339163</v>
      </c>
      <c r="D96">
        <f t="shared" si="18"/>
        <v>712295</v>
      </c>
      <c r="E96">
        <f t="shared" si="19"/>
        <v>1402436</v>
      </c>
      <c r="F96">
        <f t="shared" si="20"/>
        <v>2435</v>
      </c>
      <c r="G96">
        <f t="shared" si="21"/>
        <v>6111</v>
      </c>
      <c r="H96">
        <f t="shared" si="22"/>
        <v>13581</v>
      </c>
      <c r="I96">
        <f t="shared" si="23"/>
        <v>28212</v>
      </c>
    </row>
    <row r="97" spans="1:9" x14ac:dyDescent="0.25">
      <c r="A97" s="42">
        <v>96</v>
      </c>
      <c r="B97">
        <f t="shared" si="16"/>
        <v>146002</v>
      </c>
      <c r="C97">
        <f t="shared" si="17"/>
        <v>345320</v>
      </c>
      <c r="D97">
        <f t="shared" si="18"/>
        <v>725993</v>
      </c>
      <c r="E97">
        <f t="shared" si="19"/>
        <v>1430918</v>
      </c>
      <c r="F97">
        <f t="shared" si="20"/>
        <v>2452</v>
      </c>
      <c r="G97">
        <f t="shared" si="21"/>
        <v>6157</v>
      </c>
      <c r="H97">
        <f t="shared" si="22"/>
        <v>13698</v>
      </c>
      <c r="I97">
        <f t="shared" si="23"/>
        <v>28482</v>
      </c>
    </row>
    <row r="98" spans="1:9" x14ac:dyDescent="0.25">
      <c r="A98" s="36">
        <v>97</v>
      </c>
      <c r="B98">
        <f t="shared" ref="B98:B129" si="24">ROUND( $N$3*POWER(A98-1,$N$4), 0)</f>
        <v>148468</v>
      </c>
      <c r="C98">
        <f t="shared" si="17"/>
        <v>351522</v>
      </c>
      <c r="D98">
        <f t="shared" si="18"/>
        <v>739807</v>
      </c>
      <c r="E98">
        <f t="shared" si="19"/>
        <v>1459672</v>
      </c>
      <c r="F98">
        <f t="shared" si="20"/>
        <v>2466</v>
      </c>
      <c r="G98">
        <f t="shared" si="21"/>
        <v>6202</v>
      </c>
      <c r="H98">
        <f t="shared" si="22"/>
        <v>13814</v>
      </c>
      <c r="I98">
        <f t="shared" si="23"/>
        <v>28754</v>
      </c>
    </row>
    <row r="99" spans="1:9" x14ac:dyDescent="0.25">
      <c r="A99" s="42">
        <v>98</v>
      </c>
      <c r="B99">
        <f t="shared" si="24"/>
        <v>150951</v>
      </c>
      <c r="C99">
        <f t="shared" si="17"/>
        <v>357769</v>
      </c>
      <c r="D99">
        <f t="shared" si="18"/>
        <v>753736</v>
      </c>
      <c r="E99">
        <f t="shared" si="19"/>
        <v>1488697</v>
      </c>
      <c r="F99">
        <f t="shared" si="20"/>
        <v>2483</v>
      </c>
      <c r="G99">
        <f t="shared" si="21"/>
        <v>6247</v>
      </c>
      <c r="H99">
        <f t="shared" si="22"/>
        <v>13929</v>
      </c>
      <c r="I99">
        <f t="shared" si="23"/>
        <v>29025</v>
      </c>
    </row>
    <row r="100" spans="1:9" x14ac:dyDescent="0.25">
      <c r="A100" s="36">
        <v>99</v>
      </c>
      <c r="B100">
        <f t="shared" si="24"/>
        <v>153448</v>
      </c>
      <c r="C100">
        <f t="shared" si="17"/>
        <v>364062</v>
      </c>
      <c r="D100">
        <f t="shared" si="18"/>
        <v>767780</v>
      </c>
      <c r="E100">
        <f t="shared" si="19"/>
        <v>1517992</v>
      </c>
      <c r="F100">
        <f t="shared" si="20"/>
        <v>2497</v>
      </c>
      <c r="G100">
        <f t="shared" si="21"/>
        <v>6293</v>
      </c>
      <c r="H100">
        <f t="shared" si="22"/>
        <v>14044</v>
      </c>
      <c r="I100">
        <f t="shared" si="23"/>
        <v>29295</v>
      </c>
    </row>
    <row r="101" spans="1:9" x14ac:dyDescent="0.25">
      <c r="A101" s="42">
        <v>100</v>
      </c>
      <c r="B101">
        <f t="shared" si="24"/>
        <v>155961</v>
      </c>
      <c r="C101">
        <f t="shared" si="17"/>
        <v>370400</v>
      </c>
      <c r="D101">
        <f t="shared" si="18"/>
        <v>781940</v>
      </c>
      <c r="E101">
        <f t="shared" si="19"/>
        <v>1547558</v>
      </c>
      <c r="F101">
        <f t="shared" si="20"/>
        <v>2513</v>
      </c>
      <c r="G101">
        <f t="shared" si="21"/>
        <v>6338</v>
      </c>
      <c r="H101">
        <f t="shared" si="22"/>
        <v>14160</v>
      </c>
      <c r="I101">
        <f t="shared" si="23"/>
        <v>29566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27" workbookViewId="0">
      <selection activeCell="F31" sqref="F31"/>
    </sheetView>
  </sheetViews>
  <sheetFormatPr defaultRowHeight="15" x14ac:dyDescent="0.25"/>
  <cols>
    <col min="1" max="1" width="21" style="35" bestFit="1" customWidth="1"/>
    <col min="3" max="3" width="15" style="35" bestFit="1" customWidth="1"/>
    <col min="4" max="5" width="17.7109375" style="35" bestFit="1" customWidth="1"/>
    <col min="6" max="6" width="17.42578125" style="35" bestFit="1" customWidth="1"/>
    <col min="7" max="7" width="12.28515625" style="35" bestFit="1" customWidth="1"/>
  </cols>
  <sheetData>
    <row r="1" spans="1:7" x14ac:dyDescent="0.25">
      <c r="A1" s="16" t="s">
        <v>0</v>
      </c>
      <c r="B1" s="16" t="s">
        <v>974</v>
      </c>
      <c r="C1" s="16" t="s">
        <v>975</v>
      </c>
      <c r="D1" s="16" t="s">
        <v>976</v>
      </c>
      <c r="E1" s="16" t="s">
        <v>977</v>
      </c>
      <c r="F1" s="16" t="s">
        <v>978</v>
      </c>
      <c r="G1" s="16" t="s">
        <v>979</v>
      </c>
    </row>
    <row r="2" spans="1:7" x14ac:dyDescent="0.25">
      <c r="A2" t="s">
        <v>980</v>
      </c>
      <c r="B2" s="42">
        <v>1</v>
      </c>
      <c r="C2" s="42">
        <v>20</v>
      </c>
      <c r="D2" s="42">
        <v>40</v>
      </c>
      <c r="E2" s="42">
        <v>10000</v>
      </c>
      <c r="F2" t="s">
        <v>139</v>
      </c>
      <c r="G2" s="42">
        <v>5</v>
      </c>
    </row>
    <row r="3" spans="1:7" x14ac:dyDescent="0.25">
      <c r="A3" t="s">
        <v>980</v>
      </c>
      <c r="B3" s="42">
        <v>2</v>
      </c>
      <c r="C3" s="42">
        <v>40</v>
      </c>
      <c r="D3" s="42">
        <v>60</v>
      </c>
      <c r="E3" s="42">
        <v>50000</v>
      </c>
      <c r="F3" t="s">
        <v>139</v>
      </c>
      <c r="G3" s="42">
        <v>10</v>
      </c>
    </row>
    <row r="4" spans="1:7" x14ac:dyDescent="0.25">
      <c r="A4" t="s">
        <v>980</v>
      </c>
      <c r="B4" s="42">
        <v>3</v>
      </c>
      <c r="C4" s="42">
        <v>60</v>
      </c>
      <c r="D4" s="42">
        <v>80</v>
      </c>
      <c r="E4" s="42">
        <v>200000</v>
      </c>
      <c r="F4" t="s">
        <v>139</v>
      </c>
      <c r="G4" s="42">
        <v>15</v>
      </c>
    </row>
    <row r="5" spans="1:7" x14ac:dyDescent="0.25">
      <c r="A5" t="s">
        <v>980</v>
      </c>
      <c r="B5" s="42">
        <v>4</v>
      </c>
      <c r="C5" s="42">
        <v>80</v>
      </c>
      <c r="D5" s="42">
        <v>100</v>
      </c>
      <c r="E5" s="42">
        <v>500000</v>
      </c>
      <c r="F5" t="s">
        <v>139</v>
      </c>
      <c r="G5" s="42">
        <v>20</v>
      </c>
    </row>
    <row r="6" spans="1:7" x14ac:dyDescent="0.25">
      <c r="A6" t="s">
        <v>980</v>
      </c>
      <c r="B6" s="32">
        <v>5</v>
      </c>
      <c r="C6" s="32">
        <v>100</v>
      </c>
      <c r="D6" s="32">
        <v>100</v>
      </c>
      <c r="E6" s="32">
        <v>500000</v>
      </c>
      <c r="F6" s="33" t="s">
        <v>139</v>
      </c>
      <c r="G6" s="32">
        <v>20</v>
      </c>
    </row>
    <row r="7" spans="1:7" x14ac:dyDescent="0.25">
      <c r="A7" s="10" t="s">
        <v>981</v>
      </c>
      <c r="B7" s="42">
        <v>1</v>
      </c>
      <c r="C7" s="42">
        <v>20</v>
      </c>
      <c r="D7" s="42">
        <v>40</v>
      </c>
      <c r="E7" s="42">
        <v>10000</v>
      </c>
      <c r="F7" t="s">
        <v>139</v>
      </c>
      <c r="G7" s="42">
        <v>5</v>
      </c>
    </row>
    <row r="8" spans="1:7" x14ac:dyDescent="0.25">
      <c r="A8" s="10" t="s">
        <v>981</v>
      </c>
      <c r="B8" s="42">
        <v>2</v>
      </c>
      <c r="C8" s="42">
        <v>40</v>
      </c>
      <c r="D8" s="42">
        <v>60</v>
      </c>
      <c r="E8" s="42">
        <v>50000</v>
      </c>
      <c r="F8" t="s">
        <v>139</v>
      </c>
      <c r="G8" s="42">
        <v>10</v>
      </c>
    </row>
    <row r="9" spans="1:7" x14ac:dyDescent="0.25">
      <c r="A9" s="10" t="s">
        <v>981</v>
      </c>
      <c r="B9" s="42">
        <v>3</v>
      </c>
      <c r="C9" s="42">
        <v>60</v>
      </c>
      <c r="D9" s="42">
        <v>80</v>
      </c>
      <c r="E9" s="42">
        <v>200000</v>
      </c>
      <c r="F9" t="s">
        <v>139</v>
      </c>
      <c r="G9" s="42">
        <v>15</v>
      </c>
    </row>
    <row r="10" spans="1:7" x14ac:dyDescent="0.25">
      <c r="A10" s="10" t="s">
        <v>981</v>
      </c>
      <c r="B10" s="42">
        <v>4</v>
      </c>
      <c r="C10" s="42">
        <v>80</v>
      </c>
      <c r="D10" s="42">
        <v>100</v>
      </c>
      <c r="E10" s="42">
        <v>500000</v>
      </c>
      <c r="F10" t="s">
        <v>139</v>
      </c>
      <c r="G10" s="42">
        <v>20</v>
      </c>
    </row>
    <row r="11" spans="1:7" x14ac:dyDescent="0.25">
      <c r="A11" s="10" t="s">
        <v>981</v>
      </c>
      <c r="B11" s="32">
        <v>5</v>
      </c>
      <c r="C11" s="32">
        <v>100</v>
      </c>
      <c r="D11" s="32">
        <v>100</v>
      </c>
      <c r="E11" s="32">
        <v>500000</v>
      </c>
      <c r="F11" s="33" t="s">
        <v>139</v>
      </c>
      <c r="G11" s="32">
        <v>20</v>
      </c>
    </row>
    <row r="12" spans="1:7" x14ac:dyDescent="0.25">
      <c r="A12" t="s">
        <v>982</v>
      </c>
      <c r="B12" s="42">
        <v>1</v>
      </c>
      <c r="C12" s="42">
        <v>20</v>
      </c>
      <c r="D12" s="42">
        <v>40</v>
      </c>
      <c r="E12" s="42">
        <v>10000</v>
      </c>
      <c r="F12" t="s">
        <v>139</v>
      </c>
      <c r="G12" s="42">
        <v>5</v>
      </c>
    </row>
    <row r="13" spans="1:7" x14ac:dyDescent="0.25">
      <c r="A13" t="s">
        <v>982</v>
      </c>
      <c r="B13" s="42">
        <v>2</v>
      </c>
      <c r="C13" s="42">
        <v>40</v>
      </c>
      <c r="D13" s="42">
        <v>60</v>
      </c>
      <c r="E13" s="42">
        <v>50000</v>
      </c>
      <c r="F13" t="s">
        <v>139</v>
      </c>
      <c r="G13" s="42">
        <v>10</v>
      </c>
    </row>
    <row r="14" spans="1:7" x14ac:dyDescent="0.25">
      <c r="A14" t="s">
        <v>982</v>
      </c>
      <c r="B14" s="42">
        <v>3</v>
      </c>
      <c r="C14" s="42">
        <v>60</v>
      </c>
      <c r="D14" s="42">
        <v>80</v>
      </c>
      <c r="E14" s="42">
        <v>200000</v>
      </c>
      <c r="F14" t="s">
        <v>139</v>
      </c>
      <c r="G14" s="42">
        <v>15</v>
      </c>
    </row>
    <row r="15" spans="1:7" x14ac:dyDescent="0.25">
      <c r="A15" t="s">
        <v>982</v>
      </c>
      <c r="B15" s="42">
        <v>4</v>
      </c>
      <c r="C15" s="42">
        <v>80</v>
      </c>
      <c r="D15" s="42">
        <v>100</v>
      </c>
      <c r="E15" s="42">
        <v>500000</v>
      </c>
      <c r="F15" t="s">
        <v>139</v>
      </c>
      <c r="G15" s="42">
        <v>20</v>
      </c>
    </row>
    <row r="16" spans="1:7" x14ac:dyDescent="0.25">
      <c r="A16" t="s">
        <v>982</v>
      </c>
      <c r="B16" s="32">
        <v>5</v>
      </c>
      <c r="C16" s="32">
        <v>100</v>
      </c>
      <c r="D16" s="32">
        <v>100</v>
      </c>
      <c r="E16" s="32">
        <v>500000</v>
      </c>
      <c r="F16" s="33" t="s">
        <v>139</v>
      </c>
      <c r="G16" s="32">
        <v>20</v>
      </c>
    </row>
    <row r="17" spans="1:7" x14ac:dyDescent="0.25">
      <c r="A17" s="10" t="s">
        <v>983</v>
      </c>
      <c r="B17" s="42">
        <v>1</v>
      </c>
      <c r="C17" s="42">
        <v>20</v>
      </c>
      <c r="D17" s="42">
        <v>40</v>
      </c>
      <c r="E17" s="42">
        <v>10000</v>
      </c>
      <c r="F17" t="s">
        <v>139</v>
      </c>
      <c r="G17" s="42">
        <v>5</v>
      </c>
    </row>
    <row r="18" spans="1:7" x14ac:dyDescent="0.25">
      <c r="A18" s="10" t="s">
        <v>983</v>
      </c>
      <c r="B18" s="42">
        <v>2</v>
      </c>
      <c r="C18" s="42">
        <v>40</v>
      </c>
      <c r="D18" s="42">
        <v>60</v>
      </c>
      <c r="E18" s="42">
        <v>50000</v>
      </c>
      <c r="F18" t="s">
        <v>139</v>
      </c>
      <c r="G18" s="42">
        <v>10</v>
      </c>
    </row>
    <row r="19" spans="1:7" x14ac:dyDescent="0.25">
      <c r="A19" s="10" t="s">
        <v>983</v>
      </c>
      <c r="B19" s="42">
        <v>3</v>
      </c>
      <c r="C19" s="42">
        <v>60</v>
      </c>
      <c r="D19" s="42">
        <v>80</v>
      </c>
      <c r="E19" s="42">
        <v>200000</v>
      </c>
      <c r="F19" t="s">
        <v>139</v>
      </c>
      <c r="G19" s="42">
        <v>15</v>
      </c>
    </row>
    <row r="20" spans="1:7" x14ac:dyDescent="0.25">
      <c r="A20" s="10" t="s">
        <v>983</v>
      </c>
      <c r="B20" s="42">
        <v>4</v>
      </c>
      <c r="C20" s="42">
        <v>80</v>
      </c>
      <c r="D20" s="42">
        <v>100</v>
      </c>
      <c r="E20" s="42">
        <v>500000</v>
      </c>
      <c r="F20" t="s">
        <v>139</v>
      </c>
      <c r="G20" s="42">
        <v>20</v>
      </c>
    </row>
    <row r="21" spans="1:7" x14ac:dyDescent="0.25">
      <c r="A21" s="10" t="s">
        <v>983</v>
      </c>
      <c r="B21" s="32">
        <v>5</v>
      </c>
      <c r="C21" s="32">
        <v>100</v>
      </c>
      <c r="D21" s="32">
        <v>100</v>
      </c>
      <c r="E21" s="32">
        <v>500000</v>
      </c>
      <c r="F21" s="33" t="s">
        <v>139</v>
      </c>
      <c r="G21" s="32">
        <v>20</v>
      </c>
    </row>
    <row r="22" spans="1:7" x14ac:dyDescent="0.25">
      <c r="A22" t="s">
        <v>984</v>
      </c>
      <c r="B22" s="42">
        <v>1</v>
      </c>
      <c r="C22" s="42">
        <v>20</v>
      </c>
      <c r="D22" s="42">
        <v>40</v>
      </c>
      <c r="E22" s="42">
        <v>10000</v>
      </c>
      <c r="F22" t="s">
        <v>139</v>
      </c>
      <c r="G22" s="42">
        <v>5</v>
      </c>
    </row>
    <row r="23" spans="1:7" x14ac:dyDescent="0.25">
      <c r="A23" t="s">
        <v>984</v>
      </c>
      <c r="B23" s="42">
        <v>2</v>
      </c>
      <c r="C23" s="42">
        <v>40</v>
      </c>
      <c r="D23" s="42">
        <v>60</v>
      </c>
      <c r="E23" s="42">
        <v>50000</v>
      </c>
      <c r="F23" t="s">
        <v>139</v>
      </c>
      <c r="G23" s="42">
        <v>10</v>
      </c>
    </row>
    <row r="24" spans="1:7" x14ac:dyDescent="0.25">
      <c r="A24" t="s">
        <v>984</v>
      </c>
      <c r="B24" s="42">
        <v>3</v>
      </c>
      <c r="C24" s="42">
        <v>60</v>
      </c>
      <c r="D24" s="42">
        <v>80</v>
      </c>
      <c r="E24" s="42">
        <v>200000</v>
      </c>
      <c r="F24" t="s">
        <v>139</v>
      </c>
      <c r="G24" s="42">
        <v>15</v>
      </c>
    </row>
    <row r="25" spans="1:7" x14ac:dyDescent="0.25">
      <c r="A25" t="s">
        <v>984</v>
      </c>
      <c r="B25" s="42">
        <v>4</v>
      </c>
      <c r="C25" s="42">
        <v>80</v>
      </c>
      <c r="D25" s="42">
        <v>100</v>
      </c>
      <c r="E25" s="42">
        <v>500000</v>
      </c>
      <c r="F25" t="s">
        <v>139</v>
      </c>
      <c r="G25" s="42">
        <v>20</v>
      </c>
    </row>
    <row r="26" spans="1:7" x14ac:dyDescent="0.25">
      <c r="A26" t="s">
        <v>984</v>
      </c>
      <c r="B26" s="32">
        <v>5</v>
      </c>
      <c r="C26" s="32">
        <v>100</v>
      </c>
      <c r="D26" s="32">
        <v>100</v>
      </c>
      <c r="E26" s="32">
        <v>500000</v>
      </c>
      <c r="F26" s="33" t="s">
        <v>139</v>
      </c>
      <c r="G26" s="32">
        <v>20</v>
      </c>
    </row>
    <row r="27" spans="1:7" x14ac:dyDescent="0.25">
      <c r="A27" s="10" t="s">
        <v>985</v>
      </c>
      <c r="B27" s="42">
        <v>1</v>
      </c>
      <c r="C27" s="42">
        <v>20</v>
      </c>
      <c r="D27" s="42">
        <v>40</v>
      </c>
      <c r="E27" s="42">
        <v>10000</v>
      </c>
      <c r="F27" t="s">
        <v>139</v>
      </c>
      <c r="G27" s="42">
        <v>5</v>
      </c>
    </row>
    <row r="28" spans="1:7" x14ac:dyDescent="0.25">
      <c r="A28" s="10" t="s">
        <v>985</v>
      </c>
      <c r="B28" s="42">
        <v>2</v>
      </c>
      <c r="C28" s="42">
        <v>40</v>
      </c>
      <c r="D28" s="42">
        <v>60</v>
      </c>
      <c r="E28" s="42">
        <v>50000</v>
      </c>
      <c r="F28" t="s">
        <v>139</v>
      </c>
      <c r="G28" s="42">
        <v>10</v>
      </c>
    </row>
    <row r="29" spans="1:7" x14ac:dyDescent="0.25">
      <c r="A29" s="10" t="s">
        <v>985</v>
      </c>
      <c r="B29" s="42">
        <v>3</v>
      </c>
      <c r="C29" s="42">
        <v>60</v>
      </c>
      <c r="D29" s="42">
        <v>80</v>
      </c>
      <c r="E29" s="42">
        <v>200000</v>
      </c>
      <c r="F29" t="s">
        <v>139</v>
      </c>
      <c r="G29" s="42">
        <v>15</v>
      </c>
    </row>
    <row r="30" spans="1:7" x14ac:dyDescent="0.25">
      <c r="A30" s="10" t="s">
        <v>985</v>
      </c>
      <c r="B30" s="42">
        <v>4</v>
      </c>
      <c r="C30" s="42">
        <v>80</v>
      </c>
      <c r="D30" s="42">
        <v>100</v>
      </c>
      <c r="E30" s="42">
        <v>500000</v>
      </c>
      <c r="F30" t="s">
        <v>139</v>
      </c>
      <c r="G30" s="42">
        <v>20</v>
      </c>
    </row>
    <row r="31" spans="1:7" x14ac:dyDescent="0.25">
      <c r="A31" s="10" t="s">
        <v>985</v>
      </c>
      <c r="B31" s="32">
        <v>5</v>
      </c>
      <c r="C31" s="32">
        <v>100</v>
      </c>
      <c r="D31" s="32">
        <v>100</v>
      </c>
      <c r="E31" s="32">
        <v>500000</v>
      </c>
      <c r="F31" s="33" t="s">
        <v>139</v>
      </c>
      <c r="G31" s="32">
        <v>20</v>
      </c>
    </row>
    <row r="32" spans="1:7" x14ac:dyDescent="0.25">
      <c r="A32" t="s">
        <v>986</v>
      </c>
      <c r="B32" s="42">
        <v>1</v>
      </c>
      <c r="C32" s="42">
        <v>20</v>
      </c>
      <c r="D32" s="42">
        <v>40</v>
      </c>
      <c r="E32" s="42">
        <v>10000</v>
      </c>
      <c r="F32" t="s">
        <v>139</v>
      </c>
      <c r="G32" s="42">
        <v>5</v>
      </c>
    </row>
    <row r="33" spans="1:7" x14ac:dyDescent="0.25">
      <c r="A33" t="s">
        <v>986</v>
      </c>
      <c r="B33" s="42">
        <v>2</v>
      </c>
      <c r="C33" s="42">
        <v>40</v>
      </c>
      <c r="D33" s="42">
        <v>60</v>
      </c>
      <c r="E33" s="42">
        <v>50000</v>
      </c>
      <c r="F33" t="s">
        <v>139</v>
      </c>
      <c r="G33" s="42">
        <v>10</v>
      </c>
    </row>
    <row r="34" spans="1:7" x14ac:dyDescent="0.25">
      <c r="A34" t="s">
        <v>986</v>
      </c>
      <c r="B34" s="42">
        <v>3</v>
      </c>
      <c r="C34" s="42">
        <v>60</v>
      </c>
      <c r="D34" s="42">
        <v>80</v>
      </c>
      <c r="E34" s="42">
        <v>200000</v>
      </c>
      <c r="F34" t="s">
        <v>139</v>
      </c>
      <c r="G34" s="42">
        <v>15</v>
      </c>
    </row>
    <row r="35" spans="1:7" x14ac:dyDescent="0.25">
      <c r="A35" t="s">
        <v>986</v>
      </c>
      <c r="B35" s="42">
        <v>4</v>
      </c>
      <c r="C35" s="42">
        <v>80</v>
      </c>
      <c r="D35" s="42">
        <v>100</v>
      </c>
      <c r="E35" s="42">
        <v>500000</v>
      </c>
      <c r="F35" t="s">
        <v>139</v>
      </c>
      <c r="G35" s="42">
        <v>20</v>
      </c>
    </row>
    <row r="36" spans="1:7" x14ac:dyDescent="0.25">
      <c r="A36" t="s">
        <v>986</v>
      </c>
      <c r="B36" s="32">
        <v>5</v>
      </c>
      <c r="C36" s="32">
        <v>100</v>
      </c>
      <c r="D36" s="32">
        <v>100</v>
      </c>
      <c r="E36" s="32">
        <v>500000</v>
      </c>
      <c r="F36" s="33" t="s">
        <v>139</v>
      </c>
      <c r="G36" s="32">
        <v>20</v>
      </c>
    </row>
    <row r="37" spans="1:7" x14ac:dyDescent="0.25">
      <c r="A37" s="10" t="s">
        <v>987</v>
      </c>
      <c r="B37" s="42">
        <v>1</v>
      </c>
      <c r="C37" s="42">
        <v>20</v>
      </c>
      <c r="D37" s="42">
        <v>40</v>
      </c>
      <c r="E37" s="42">
        <v>10000</v>
      </c>
      <c r="F37" t="s">
        <v>139</v>
      </c>
      <c r="G37" s="42">
        <v>5</v>
      </c>
    </row>
    <row r="38" spans="1:7" x14ac:dyDescent="0.25">
      <c r="A38" s="10" t="s">
        <v>987</v>
      </c>
      <c r="B38" s="42">
        <v>2</v>
      </c>
      <c r="C38" s="42">
        <v>40</v>
      </c>
      <c r="D38" s="42">
        <v>60</v>
      </c>
      <c r="E38" s="42">
        <v>50000</v>
      </c>
      <c r="F38" t="s">
        <v>139</v>
      </c>
      <c r="G38" s="42">
        <v>10</v>
      </c>
    </row>
    <row r="39" spans="1:7" x14ac:dyDescent="0.25">
      <c r="A39" s="10" t="s">
        <v>987</v>
      </c>
      <c r="B39" s="42">
        <v>3</v>
      </c>
      <c r="C39" s="42">
        <v>60</v>
      </c>
      <c r="D39" s="42">
        <v>80</v>
      </c>
      <c r="E39" s="42">
        <v>200000</v>
      </c>
      <c r="F39" t="s">
        <v>139</v>
      </c>
      <c r="G39" s="42">
        <v>15</v>
      </c>
    </row>
    <row r="40" spans="1:7" x14ac:dyDescent="0.25">
      <c r="A40" s="10" t="s">
        <v>987</v>
      </c>
      <c r="B40" s="42">
        <v>4</v>
      </c>
      <c r="C40" s="42">
        <v>80</v>
      </c>
      <c r="D40" s="42">
        <v>100</v>
      </c>
      <c r="E40" s="42">
        <v>500000</v>
      </c>
      <c r="F40" t="s">
        <v>139</v>
      </c>
      <c r="G40" s="42">
        <v>20</v>
      </c>
    </row>
    <row r="41" spans="1:7" x14ac:dyDescent="0.25">
      <c r="A41" s="10" t="s">
        <v>987</v>
      </c>
      <c r="B41" s="32">
        <v>5</v>
      </c>
      <c r="C41" s="32">
        <v>100</v>
      </c>
      <c r="D41" s="32">
        <v>100</v>
      </c>
      <c r="E41" s="32">
        <v>500000</v>
      </c>
      <c r="F41" s="33" t="s">
        <v>139</v>
      </c>
      <c r="G41" s="32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R7" sqref="R7"/>
    </sheetView>
  </sheetViews>
  <sheetFormatPr defaultRowHeight="15" x14ac:dyDescent="0.25"/>
  <cols>
    <col min="1" max="1" width="11.85546875" style="35" customWidth="1"/>
    <col min="2" max="2" width="15.28515625" style="35" customWidth="1"/>
    <col min="3" max="3" width="17.5703125" style="35" customWidth="1"/>
    <col min="4" max="4" width="19.5703125" style="35" customWidth="1"/>
    <col min="5" max="5" width="12.85546875" style="35" customWidth="1"/>
    <col min="6" max="6" width="17.85546875" style="35" customWidth="1"/>
    <col min="7" max="7" width="17.42578125" style="35" customWidth="1"/>
  </cols>
  <sheetData>
    <row r="1" spans="1:4" x14ac:dyDescent="0.25">
      <c r="A1" s="16" t="s">
        <v>0</v>
      </c>
      <c r="B1" s="16" t="s">
        <v>974</v>
      </c>
      <c r="C1" s="16" t="s">
        <v>977</v>
      </c>
      <c r="D1" s="16" t="s">
        <v>988</v>
      </c>
    </row>
    <row r="2" spans="1:4" x14ac:dyDescent="0.25">
      <c r="A2" t="s">
        <v>989</v>
      </c>
      <c r="B2" s="36">
        <v>1</v>
      </c>
      <c r="C2">
        <v>10000</v>
      </c>
      <c r="D2">
        <v>60</v>
      </c>
    </row>
    <row r="3" spans="1:4" x14ac:dyDescent="0.25">
      <c r="A3" t="s">
        <v>989</v>
      </c>
      <c r="B3" s="36">
        <v>2</v>
      </c>
      <c r="C3">
        <v>20000</v>
      </c>
      <c r="D3">
        <v>120</v>
      </c>
    </row>
    <row r="4" spans="1:4" x14ac:dyDescent="0.25">
      <c r="A4" t="s">
        <v>989</v>
      </c>
      <c r="B4" s="36">
        <v>3</v>
      </c>
      <c r="C4">
        <v>50000</v>
      </c>
      <c r="D4">
        <v>240</v>
      </c>
    </row>
    <row r="5" spans="1:4" x14ac:dyDescent="0.25">
      <c r="A5" t="s">
        <v>989</v>
      </c>
      <c r="B5" s="36">
        <v>4</v>
      </c>
      <c r="C5">
        <v>100000</v>
      </c>
      <c r="D5">
        <v>420</v>
      </c>
    </row>
    <row r="6" spans="1:4" x14ac:dyDescent="0.25">
      <c r="A6" t="s">
        <v>989</v>
      </c>
      <c r="B6" s="36">
        <v>5</v>
      </c>
      <c r="C6">
        <v>250000</v>
      </c>
      <c r="D6">
        <v>540</v>
      </c>
    </row>
    <row r="7" spans="1:4" x14ac:dyDescent="0.25">
      <c r="A7" t="s">
        <v>989</v>
      </c>
      <c r="B7" s="36">
        <v>6</v>
      </c>
      <c r="C7">
        <v>500000</v>
      </c>
      <c r="D7">
        <v>600</v>
      </c>
    </row>
    <row r="8" spans="1:4" x14ac:dyDescent="0.25">
      <c r="A8" s="10" t="s">
        <v>990</v>
      </c>
      <c r="B8" s="36">
        <v>1</v>
      </c>
      <c r="C8">
        <v>10000</v>
      </c>
      <c r="D8">
        <v>60</v>
      </c>
    </row>
    <row r="9" spans="1:4" x14ac:dyDescent="0.25">
      <c r="A9" s="10" t="s">
        <v>990</v>
      </c>
      <c r="B9" s="36">
        <v>2</v>
      </c>
      <c r="C9">
        <v>20000</v>
      </c>
      <c r="D9">
        <v>120</v>
      </c>
    </row>
    <row r="10" spans="1:4" x14ac:dyDescent="0.25">
      <c r="A10" s="10" t="s">
        <v>990</v>
      </c>
      <c r="B10" s="36">
        <v>3</v>
      </c>
      <c r="C10">
        <v>50000</v>
      </c>
      <c r="D10">
        <v>240</v>
      </c>
    </row>
    <row r="11" spans="1:4" x14ac:dyDescent="0.25">
      <c r="A11" s="10" t="s">
        <v>990</v>
      </c>
      <c r="B11" s="36">
        <v>4</v>
      </c>
      <c r="C11">
        <v>100000</v>
      </c>
      <c r="D11">
        <v>360</v>
      </c>
    </row>
    <row r="12" spans="1:4" x14ac:dyDescent="0.25">
      <c r="A12" s="10" t="s">
        <v>990</v>
      </c>
      <c r="B12" s="36">
        <v>5</v>
      </c>
      <c r="C12">
        <v>250000</v>
      </c>
      <c r="D12">
        <v>420</v>
      </c>
    </row>
    <row r="13" spans="1:4" x14ac:dyDescent="0.25">
      <c r="A13" s="10" t="s">
        <v>990</v>
      </c>
      <c r="B13" s="36">
        <v>6</v>
      </c>
      <c r="C13">
        <v>500000</v>
      </c>
      <c r="D13">
        <v>480</v>
      </c>
    </row>
    <row r="14" spans="1:4" x14ac:dyDescent="0.25">
      <c r="A14" s="29" t="s">
        <v>991</v>
      </c>
      <c r="B14" s="36">
        <v>1</v>
      </c>
      <c r="C14">
        <v>10000</v>
      </c>
      <c r="D14">
        <v>60</v>
      </c>
    </row>
    <row r="15" spans="1:4" x14ac:dyDescent="0.25">
      <c r="A15" s="29" t="s">
        <v>991</v>
      </c>
      <c r="B15" s="36">
        <v>2</v>
      </c>
      <c r="C15">
        <v>20000</v>
      </c>
      <c r="D15">
        <v>120</v>
      </c>
    </row>
    <row r="16" spans="1:4" x14ac:dyDescent="0.25">
      <c r="A16" s="29" t="s">
        <v>991</v>
      </c>
      <c r="B16" s="36">
        <v>3</v>
      </c>
      <c r="C16">
        <v>50000</v>
      </c>
      <c r="D16">
        <v>240</v>
      </c>
    </row>
    <row r="17" spans="1:4" x14ac:dyDescent="0.25">
      <c r="A17" s="29" t="s">
        <v>991</v>
      </c>
      <c r="B17" s="36">
        <v>4</v>
      </c>
      <c r="C17">
        <v>100000</v>
      </c>
      <c r="D17">
        <v>300</v>
      </c>
    </row>
    <row r="18" spans="1:4" x14ac:dyDescent="0.25">
      <c r="A18" s="29" t="s">
        <v>991</v>
      </c>
      <c r="B18" s="36">
        <v>5</v>
      </c>
      <c r="C18">
        <v>250000</v>
      </c>
      <c r="D18">
        <v>360</v>
      </c>
    </row>
    <row r="19" spans="1:4" x14ac:dyDescent="0.25">
      <c r="A19" s="29" t="s">
        <v>991</v>
      </c>
      <c r="B19" s="36">
        <v>6</v>
      </c>
      <c r="C19">
        <v>500000</v>
      </c>
      <c r="D19">
        <v>420</v>
      </c>
    </row>
    <row r="20" spans="1:4" x14ac:dyDescent="0.25">
      <c r="A20" s="10" t="s">
        <v>992</v>
      </c>
      <c r="B20" s="36">
        <v>1</v>
      </c>
      <c r="C20">
        <v>10000</v>
      </c>
      <c r="D20">
        <v>60</v>
      </c>
    </row>
    <row r="21" spans="1:4" x14ac:dyDescent="0.25">
      <c r="A21" s="10" t="s">
        <v>992</v>
      </c>
      <c r="B21" s="36">
        <v>2</v>
      </c>
      <c r="C21">
        <v>20000</v>
      </c>
      <c r="D21">
        <v>120</v>
      </c>
    </row>
    <row r="22" spans="1:4" x14ac:dyDescent="0.25">
      <c r="A22" s="10" t="s">
        <v>992</v>
      </c>
      <c r="B22" s="36">
        <v>3</v>
      </c>
      <c r="C22">
        <v>50000</v>
      </c>
      <c r="D22">
        <v>180</v>
      </c>
    </row>
    <row r="23" spans="1:4" x14ac:dyDescent="0.25">
      <c r="A23" s="10" t="s">
        <v>992</v>
      </c>
      <c r="B23" s="36">
        <v>4</v>
      </c>
      <c r="C23">
        <v>100000</v>
      </c>
      <c r="D23">
        <v>240</v>
      </c>
    </row>
    <row r="24" spans="1:4" x14ac:dyDescent="0.25">
      <c r="A24" s="10" t="s">
        <v>992</v>
      </c>
      <c r="B24" s="36">
        <v>5</v>
      </c>
      <c r="C24">
        <v>250000</v>
      </c>
      <c r="D24">
        <v>300</v>
      </c>
    </row>
    <row r="25" spans="1:4" x14ac:dyDescent="0.25">
      <c r="A25" s="10" t="s">
        <v>992</v>
      </c>
      <c r="B25" s="36">
        <v>6</v>
      </c>
      <c r="C25">
        <v>500000</v>
      </c>
      <c r="D25">
        <v>360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A6" sqref="A6"/>
    </sheetView>
  </sheetViews>
  <sheetFormatPr defaultRowHeight="15" x14ac:dyDescent="0.25"/>
  <cols>
    <col min="1" max="1" width="26" style="35" bestFit="1" customWidth="1"/>
    <col min="2" max="2" width="36.140625" style="35" bestFit="1" customWidth="1"/>
    <col min="3" max="3" width="39.28515625" style="35" bestFit="1" customWidth="1"/>
    <col min="4" max="4" width="21.28515625" style="35" customWidth="1"/>
    <col min="5" max="5" width="15.5703125" style="35" customWidth="1"/>
    <col min="6" max="6" width="10.85546875" style="35" customWidth="1"/>
  </cols>
  <sheetData>
    <row r="1" spans="1:6" x14ac:dyDescent="0.25">
      <c r="A1" s="16" t="s">
        <v>0</v>
      </c>
      <c r="B1" s="16" t="s">
        <v>1</v>
      </c>
      <c r="C1" s="16" t="s">
        <v>512</v>
      </c>
      <c r="D1" s="16" t="s">
        <v>993</v>
      </c>
      <c r="E1" s="16" t="s">
        <v>994</v>
      </c>
      <c r="F1" s="16" t="s">
        <v>995</v>
      </c>
    </row>
    <row r="2" spans="1:6" x14ac:dyDescent="0.25">
      <c r="A2" s="38" t="s">
        <v>996</v>
      </c>
      <c r="B2" t="s">
        <v>997</v>
      </c>
      <c r="C2" t="s">
        <v>998</v>
      </c>
      <c r="D2" s="36" t="s">
        <v>999</v>
      </c>
      <c r="E2" s="36" t="s">
        <v>1000</v>
      </c>
      <c r="F2" s="36">
        <v>600</v>
      </c>
    </row>
    <row r="3" spans="1:6" x14ac:dyDescent="0.25">
      <c r="A3" s="38" t="s">
        <v>1001</v>
      </c>
      <c r="B3" t="s">
        <v>1002</v>
      </c>
      <c r="C3" t="s">
        <v>1003</v>
      </c>
      <c r="D3" s="36" t="s">
        <v>999</v>
      </c>
      <c r="E3" s="36" t="s">
        <v>1000</v>
      </c>
      <c r="F3" s="36">
        <v>600</v>
      </c>
    </row>
    <row r="4" spans="1:6" x14ac:dyDescent="0.25">
      <c r="A4" s="38" t="s">
        <v>1004</v>
      </c>
      <c r="B4" t="s">
        <v>1005</v>
      </c>
      <c r="C4" t="s">
        <v>1006</v>
      </c>
      <c r="D4" s="36" t="s">
        <v>999</v>
      </c>
      <c r="E4" s="36" t="s">
        <v>1000</v>
      </c>
      <c r="F4" s="36">
        <v>600</v>
      </c>
    </row>
    <row r="5" spans="1:6" x14ac:dyDescent="0.25">
      <c r="A5" s="38" t="s">
        <v>1007</v>
      </c>
      <c r="B5" t="s">
        <v>1008</v>
      </c>
      <c r="C5" t="s">
        <v>1009</v>
      </c>
      <c r="D5" s="36" t="s">
        <v>999</v>
      </c>
      <c r="E5" s="36" t="s">
        <v>1000</v>
      </c>
      <c r="F5" s="36">
        <v>600</v>
      </c>
    </row>
    <row r="6" spans="1:6" x14ac:dyDescent="0.25">
      <c r="A6" s="38" t="s">
        <v>1010</v>
      </c>
      <c r="B6" t="s">
        <v>1011</v>
      </c>
      <c r="C6" t="s">
        <v>1012</v>
      </c>
      <c r="D6" s="36" t="s">
        <v>999</v>
      </c>
      <c r="E6" s="36" t="s">
        <v>1000</v>
      </c>
      <c r="F6" s="36">
        <v>600</v>
      </c>
    </row>
    <row r="7" spans="1:6" x14ac:dyDescent="0.25">
      <c r="A7" s="38" t="s">
        <v>1013</v>
      </c>
      <c r="B7" t="s">
        <v>1014</v>
      </c>
      <c r="C7" t="s">
        <v>1015</v>
      </c>
      <c r="D7" s="36" t="s">
        <v>999</v>
      </c>
      <c r="E7" s="36" t="s">
        <v>1000</v>
      </c>
      <c r="F7" s="36">
        <v>600</v>
      </c>
    </row>
    <row r="8" spans="1:6" x14ac:dyDescent="0.25">
      <c r="A8" s="38" t="s">
        <v>1016</v>
      </c>
      <c r="B8" t="s">
        <v>1017</v>
      </c>
      <c r="C8" t="s">
        <v>1018</v>
      </c>
      <c r="D8" s="36" t="s">
        <v>999</v>
      </c>
      <c r="E8" s="36" t="s">
        <v>1000</v>
      </c>
      <c r="F8" s="36">
        <v>600</v>
      </c>
    </row>
    <row r="9" spans="1:6" x14ac:dyDescent="0.25">
      <c r="A9" s="38" t="s">
        <v>1019</v>
      </c>
      <c r="B9" t="s">
        <v>1020</v>
      </c>
      <c r="C9" t="s">
        <v>1021</v>
      </c>
      <c r="D9" s="36" t="s">
        <v>999</v>
      </c>
      <c r="E9" s="36" t="s">
        <v>1000</v>
      </c>
      <c r="F9" s="36">
        <v>600</v>
      </c>
    </row>
    <row r="10" spans="1:6" x14ac:dyDescent="0.25">
      <c r="A10" s="38" t="s">
        <v>1022</v>
      </c>
      <c r="B10" t="s">
        <v>1023</v>
      </c>
      <c r="C10" t="s">
        <v>1024</v>
      </c>
      <c r="D10" s="36" t="s">
        <v>999</v>
      </c>
      <c r="E10" s="36" t="s">
        <v>1000</v>
      </c>
      <c r="F10" s="36">
        <v>600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opLeftCell="A27" zoomScale="160" zoomScaleNormal="160" workbookViewId="0">
      <selection activeCell="G42" sqref="G42"/>
    </sheetView>
  </sheetViews>
  <sheetFormatPr defaultRowHeight="15" x14ac:dyDescent="0.25"/>
  <cols>
    <col min="1" max="1" width="26" style="35" bestFit="1" customWidth="1"/>
    <col min="2" max="2" width="13" style="35" customWidth="1"/>
    <col min="3" max="3" width="22.140625" style="35" bestFit="1" customWidth="1"/>
    <col min="6" max="6" width="18.85546875" style="35" bestFit="1" customWidth="1"/>
    <col min="7" max="7" width="14.28515625" style="35" bestFit="1" customWidth="1"/>
  </cols>
  <sheetData>
    <row r="1" spans="1:8" x14ac:dyDescent="0.25">
      <c r="A1" s="16" t="s">
        <v>1025</v>
      </c>
      <c r="B1" s="16" t="s">
        <v>1026</v>
      </c>
      <c r="C1" s="16" t="s">
        <v>1027</v>
      </c>
      <c r="D1" s="16" t="s">
        <v>963</v>
      </c>
      <c r="E1" s="16" t="s">
        <v>658</v>
      </c>
      <c r="F1" s="16" t="s">
        <v>1028</v>
      </c>
      <c r="G1" s="16" t="s">
        <v>1029</v>
      </c>
      <c r="H1" s="16"/>
    </row>
    <row r="2" spans="1:8" x14ac:dyDescent="0.25">
      <c r="A2" s="10" t="s">
        <v>996</v>
      </c>
      <c r="B2" s="42">
        <v>1</v>
      </c>
      <c r="C2" s="42" t="s">
        <v>657</v>
      </c>
      <c r="D2" s="42">
        <v>5</v>
      </c>
      <c r="E2" s="42" t="b">
        <v>0</v>
      </c>
    </row>
    <row r="3" spans="1:8" x14ac:dyDescent="0.25">
      <c r="A3" s="10" t="s">
        <v>996</v>
      </c>
      <c r="B3" s="42">
        <v>2</v>
      </c>
      <c r="C3" s="42" t="s">
        <v>657</v>
      </c>
      <c r="D3" s="42">
        <v>5</v>
      </c>
      <c r="E3" s="42" t="b">
        <v>0</v>
      </c>
    </row>
    <row r="4" spans="1:8" x14ac:dyDescent="0.25">
      <c r="A4" s="10" t="s">
        <v>996</v>
      </c>
      <c r="B4" s="42">
        <v>3</v>
      </c>
      <c r="C4" s="42" t="s">
        <v>657</v>
      </c>
      <c r="D4" s="42">
        <v>5</v>
      </c>
      <c r="E4" s="42" t="b">
        <v>0</v>
      </c>
    </row>
    <row r="5" spans="1:8" x14ac:dyDescent="0.25">
      <c r="A5" t="s">
        <v>1004</v>
      </c>
      <c r="B5" s="42">
        <v>1</v>
      </c>
      <c r="C5" s="42" t="s">
        <v>695</v>
      </c>
      <c r="D5" s="42">
        <v>10</v>
      </c>
      <c r="E5" s="42" t="b">
        <v>0</v>
      </c>
    </row>
    <row r="6" spans="1:8" x14ac:dyDescent="0.25">
      <c r="A6" t="s">
        <v>1004</v>
      </c>
      <c r="B6" s="42">
        <v>2</v>
      </c>
      <c r="C6" s="42" t="s">
        <v>698</v>
      </c>
      <c r="D6" s="42">
        <v>10</v>
      </c>
      <c r="E6" s="42" t="b">
        <v>0</v>
      </c>
    </row>
    <row r="7" spans="1:8" x14ac:dyDescent="0.25">
      <c r="A7" t="s">
        <v>1004</v>
      </c>
      <c r="B7" s="42">
        <v>3</v>
      </c>
      <c r="C7" s="42" t="s">
        <v>695</v>
      </c>
      <c r="D7" s="42">
        <v>10</v>
      </c>
      <c r="E7" s="42" t="b">
        <v>0</v>
      </c>
    </row>
    <row r="8" spans="1:8" x14ac:dyDescent="0.25">
      <c r="A8" t="s">
        <v>1004</v>
      </c>
      <c r="B8" s="42">
        <v>5</v>
      </c>
      <c r="C8" s="14" t="s">
        <v>247</v>
      </c>
      <c r="D8" s="42">
        <v>12</v>
      </c>
      <c r="E8" s="42" t="b">
        <v>1</v>
      </c>
      <c r="F8" t="s">
        <v>53</v>
      </c>
      <c r="G8">
        <v>1</v>
      </c>
    </row>
    <row r="9" spans="1:8" x14ac:dyDescent="0.25">
      <c r="A9" s="10" t="s">
        <v>1001</v>
      </c>
      <c r="B9" s="42">
        <v>1</v>
      </c>
      <c r="C9" s="42" t="s">
        <v>689</v>
      </c>
      <c r="D9" s="42">
        <v>15</v>
      </c>
      <c r="E9" s="42" t="b">
        <v>0</v>
      </c>
    </row>
    <row r="10" spans="1:8" x14ac:dyDescent="0.25">
      <c r="A10" s="10" t="s">
        <v>1001</v>
      </c>
      <c r="B10" s="42">
        <v>2</v>
      </c>
      <c r="C10" s="42" t="s">
        <v>692</v>
      </c>
      <c r="D10" s="42">
        <v>15</v>
      </c>
      <c r="E10" s="42" t="b">
        <v>0</v>
      </c>
    </row>
    <row r="11" spans="1:8" x14ac:dyDescent="0.25">
      <c r="A11" s="10" t="s">
        <v>1001</v>
      </c>
      <c r="B11" s="42">
        <v>3</v>
      </c>
      <c r="C11" s="42" t="s">
        <v>689</v>
      </c>
      <c r="D11" s="42">
        <v>15</v>
      </c>
      <c r="E11" s="42" t="b">
        <v>0</v>
      </c>
    </row>
    <row r="12" spans="1:8" x14ac:dyDescent="0.25">
      <c r="A12" s="10" t="s">
        <v>1001</v>
      </c>
      <c r="B12" s="42">
        <v>4</v>
      </c>
      <c r="C12" s="7" t="s">
        <v>247</v>
      </c>
      <c r="D12" s="42">
        <v>20</v>
      </c>
      <c r="E12" s="42" t="b">
        <v>0</v>
      </c>
    </row>
    <row r="13" spans="1:8" x14ac:dyDescent="0.25">
      <c r="A13" s="10" t="s">
        <v>1001</v>
      </c>
      <c r="B13" s="42">
        <v>5</v>
      </c>
      <c r="C13" s="14" t="s">
        <v>713</v>
      </c>
      <c r="D13" s="42">
        <v>20</v>
      </c>
      <c r="E13" s="42" t="b">
        <v>1</v>
      </c>
      <c r="F13" t="s">
        <v>13</v>
      </c>
      <c r="G13">
        <v>1</v>
      </c>
    </row>
    <row r="14" spans="1:8" x14ac:dyDescent="0.25">
      <c r="A14" s="10" t="s">
        <v>1001</v>
      </c>
      <c r="B14" s="42">
        <v>6</v>
      </c>
      <c r="C14" s="42" t="s">
        <v>692</v>
      </c>
      <c r="D14" s="42">
        <v>20</v>
      </c>
      <c r="E14" s="42" t="b">
        <v>1</v>
      </c>
    </row>
    <row r="15" spans="1:8" x14ac:dyDescent="0.25">
      <c r="A15" t="s">
        <v>1019</v>
      </c>
      <c r="B15" s="42">
        <v>1</v>
      </c>
      <c r="C15" s="7" t="s">
        <v>704</v>
      </c>
      <c r="D15" s="42">
        <v>20</v>
      </c>
      <c r="E15" s="42" t="b">
        <v>0</v>
      </c>
    </row>
    <row r="16" spans="1:8" x14ac:dyDescent="0.25">
      <c r="A16" t="s">
        <v>1019</v>
      </c>
      <c r="B16" s="42">
        <v>2</v>
      </c>
      <c r="C16" s="14" t="s">
        <v>712</v>
      </c>
      <c r="D16" s="42">
        <v>25</v>
      </c>
      <c r="E16" s="42" t="b">
        <v>1</v>
      </c>
      <c r="F16" t="s">
        <v>74</v>
      </c>
      <c r="G16">
        <v>1</v>
      </c>
    </row>
    <row r="17" spans="1:7" x14ac:dyDescent="0.25">
      <c r="A17" t="s">
        <v>1019</v>
      </c>
      <c r="B17" s="42">
        <v>3</v>
      </c>
      <c r="C17" s="42" t="s">
        <v>676</v>
      </c>
      <c r="D17" s="42">
        <v>20</v>
      </c>
      <c r="E17" s="42" t="b">
        <v>0</v>
      </c>
    </row>
    <row r="18" spans="1:7" x14ac:dyDescent="0.25">
      <c r="A18" t="s">
        <v>1019</v>
      </c>
      <c r="B18" s="42">
        <v>4</v>
      </c>
      <c r="C18" s="42" t="s">
        <v>676</v>
      </c>
      <c r="D18" s="42">
        <v>20</v>
      </c>
      <c r="E18" s="42" t="b">
        <v>0</v>
      </c>
    </row>
    <row r="19" spans="1:7" x14ac:dyDescent="0.25">
      <c r="A19" t="s">
        <v>1019</v>
      </c>
      <c r="B19" s="42">
        <v>5</v>
      </c>
      <c r="C19" s="7" t="s">
        <v>709</v>
      </c>
      <c r="D19" s="42">
        <v>20</v>
      </c>
      <c r="E19" s="42" t="b">
        <v>0</v>
      </c>
    </row>
    <row r="20" spans="1:7" x14ac:dyDescent="0.25">
      <c r="A20" t="s">
        <v>1019</v>
      </c>
      <c r="B20" s="42">
        <v>6</v>
      </c>
      <c r="C20" s="42" t="s">
        <v>676</v>
      </c>
      <c r="D20" s="42">
        <v>20</v>
      </c>
      <c r="E20" s="42" t="b">
        <v>0</v>
      </c>
    </row>
    <row r="21" spans="1:7" x14ac:dyDescent="0.25">
      <c r="A21" s="10" t="s">
        <v>1022</v>
      </c>
      <c r="B21" s="42">
        <v>1</v>
      </c>
      <c r="C21" s="42" t="s">
        <v>676</v>
      </c>
      <c r="D21" s="42">
        <v>20</v>
      </c>
      <c r="E21" s="42" t="b">
        <v>0</v>
      </c>
    </row>
    <row r="22" spans="1:7" x14ac:dyDescent="0.25">
      <c r="A22" s="10" t="s">
        <v>1022</v>
      </c>
      <c r="B22" s="42">
        <v>2</v>
      </c>
      <c r="C22" s="42" t="s">
        <v>676</v>
      </c>
      <c r="D22" s="42">
        <v>20</v>
      </c>
      <c r="E22" s="42" t="b">
        <v>0</v>
      </c>
    </row>
    <row r="23" spans="1:7" x14ac:dyDescent="0.25">
      <c r="A23" s="10" t="s">
        <v>1022</v>
      </c>
      <c r="B23" s="42">
        <v>3</v>
      </c>
      <c r="C23" s="42" t="s">
        <v>676</v>
      </c>
      <c r="D23" s="42">
        <v>20</v>
      </c>
      <c r="E23" s="42" t="b">
        <v>0</v>
      </c>
    </row>
    <row r="24" spans="1:7" x14ac:dyDescent="0.25">
      <c r="A24" s="10" t="s">
        <v>1022</v>
      </c>
      <c r="B24" s="42">
        <v>5</v>
      </c>
      <c r="C24" s="14" t="s">
        <v>711</v>
      </c>
      <c r="D24" s="42">
        <v>25</v>
      </c>
      <c r="E24" s="42" t="b">
        <v>1</v>
      </c>
      <c r="F24" s="36" t="s">
        <v>13</v>
      </c>
      <c r="G24" s="36">
        <v>2</v>
      </c>
    </row>
    <row r="25" spans="1:7" x14ac:dyDescent="0.25">
      <c r="A25" t="s">
        <v>1013</v>
      </c>
      <c r="B25" s="42">
        <v>1</v>
      </c>
      <c r="C25" s="42" t="s">
        <v>657</v>
      </c>
      <c r="D25" s="42">
        <v>20</v>
      </c>
      <c r="E25" s="42" t="b">
        <v>0</v>
      </c>
    </row>
    <row r="26" spans="1:7" x14ac:dyDescent="0.25">
      <c r="A26" t="s">
        <v>1013</v>
      </c>
      <c r="B26" s="42">
        <v>2</v>
      </c>
      <c r="C26" s="42" t="s">
        <v>686</v>
      </c>
      <c r="D26" s="42">
        <v>20</v>
      </c>
      <c r="E26" s="42" t="b">
        <v>0</v>
      </c>
    </row>
    <row r="27" spans="1:7" x14ac:dyDescent="0.25">
      <c r="A27" t="s">
        <v>1013</v>
      </c>
      <c r="B27" s="42">
        <v>3</v>
      </c>
      <c r="C27" s="42" t="s">
        <v>657</v>
      </c>
      <c r="D27" s="42">
        <v>20</v>
      </c>
      <c r="E27" s="42" t="b">
        <v>0</v>
      </c>
      <c r="G27" s="36"/>
    </row>
    <row r="28" spans="1:7" x14ac:dyDescent="0.25">
      <c r="A28" t="s">
        <v>1013</v>
      </c>
      <c r="B28" s="42">
        <v>5</v>
      </c>
      <c r="C28" s="14" t="s">
        <v>245</v>
      </c>
      <c r="D28" s="42">
        <v>28</v>
      </c>
      <c r="E28" s="42" t="b">
        <v>1</v>
      </c>
    </row>
    <row r="29" spans="1:7" x14ac:dyDescent="0.25">
      <c r="A29" s="10" t="s">
        <v>1016</v>
      </c>
      <c r="B29" s="42">
        <v>1</v>
      </c>
      <c r="C29" s="42" t="s">
        <v>683</v>
      </c>
      <c r="D29" s="42">
        <v>25</v>
      </c>
      <c r="E29" s="42" t="b">
        <v>0</v>
      </c>
    </row>
    <row r="30" spans="1:7" x14ac:dyDescent="0.25">
      <c r="A30" s="10" t="s">
        <v>1016</v>
      </c>
      <c r="B30" s="42">
        <v>2</v>
      </c>
      <c r="C30" s="42" t="s">
        <v>683</v>
      </c>
      <c r="D30" s="42">
        <v>25</v>
      </c>
      <c r="E30" s="42" t="b">
        <v>0</v>
      </c>
    </row>
    <row r="31" spans="1:7" x14ac:dyDescent="0.25">
      <c r="A31" s="10" t="s">
        <v>1016</v>
      </c>
      <c r="B31" s="42">
        <v>3</v>
      </c>
      <c r="C31" s="42" t="s">
        <v>683</v>
      </c>
      <c r="D31" s="42">
        <v>25</v>
      </c>
      <c r="E31" s="42" t="b">
        <v>0</v>
      </c>
    </row>
    <row r="32" spans="1:7" x14ac:dyDescent="0.25">
      <c r="A32" s="10" t="s">
        <v>1016</v>
      </c>
      <c r="B32" s="42">
        <v>4</v>
      </c>
      <c r="C32" s="42" t="s">
        <v>243</v>
      </c>
      <c r="D32" s="42">
        <v>26</v>
      </c>
      <c r="E32" s="42" t="b">
        <v>0</v>
      </c>
    </row>
    <row r="33" spans="1:7" x14ac:dyDescent="0.25">
      <c r="A33" s="10" t="s">
        <v>1016</v>
      </c>
      <c r="B33" s="42">
        <v>5</v>
      </c>
      <c r="C33" s="14" t="s">
        <v>241</v>
      </c>
      <c r="D33" s="42">
        <v>28</v>
      </c>
      <c r="E33" s="42" t="b">
        <v>1</v>
      </c>
    </row>
    <row r="34" spans="1:7" x14ac:dyDescent="0.25">
      <c r="A34" s="10" t="s">
        <v>1016</v>
      </c>
      <c r="B34" s="42">
        <v>6</v>
      </c>
      <c r="C34" s="42" t="s">
        <v>683</v>
      </c>
      <c r="D34" s="42">
        <v>25</v>
      </c>
      <c r="E34" s="42" t="b">
        <v>0</v>
      </c>
    </row>
    <row r="35" spans="1:7" x14ac:dyDescent="0.25">
      <c r="A35" t="s">
        <v>1007</v>
      </c>
      <c r="B35" s="42">
        <v>1</v>
      </c>
      <c r="C35" s="42" t="s">
        <v>680</v>
      </c>
      <c r="D35" s="42">
        <v>25</v>
      </c>
      <c r="E35" s="42" t="b">
        <v>0</v>
      </c>
    </row>
    <row r="36" spans="1:7" x14ac:dyDescent="0.25">
      <c r="A36" t="s">
        <v>1007</v>
      </c>
      <c r="B36" s="42">
        <v>2</v>
      </c>
      <c r="C36" s="42" t="s">
        <v>680</v>
      </c>
      <c r="D36" s="42">
        <v>25</v>
      </c>
      <c r="E36" s="42" t="b">
        <v>0</v>
      </c>
    </row>
    <row r="37" spans="1:7" x14ac:dyDescent="0.25">
      <c r="A37" t="s">
        <v>1007</v>
      </c>
      <c r="B37" s="42">
        <v>3</v>
      </c>
      <c r="C37" s="42" t="s">
        <v>680</v>
      </c>
      <c r="D37" s="42">
        <v>25</v>
      </c>
      <c r="E37" s="42" t="b">
        <v>0</v>
      </c>
    </row>
    <row r="38" spans="1:7" x14ac:dyDescent="0.25">
      <c r="A38" t="s">
        <v>1007</v>
      </c>
      <c r="B38" s="42">
        <v>5</v>
      </c>
      <c r="C38" s="14" t="s">
        <v>239</v>
      </c>
      <c r="D38" s="42">
        <v>30</v>
      </c>
      <c r="E38" s="42" t="b">
        <v>1</v>
      </c>
    </row>
    <row r="39" spans="1:7" x14ac:dyDescent="0.25">
      <c r="A39" s="10" t="s">
        <v>1010</v>
      </c>
      <c r="B39" s="42">
        <v>1</v>
      </c>
      <c r="C39" s="42" t="s">
        <v>680</v>
      </c>
      <c r="D39" s="42">
        <v>25</v>
      </c>
      <c r="E39" s="42" t="b">
        <v>0</v>
      </c>
    </row>
    <row r="40" spans="1:7" x14ac:dyDescent="0.25">
      <c r="A40" s="10" t="s">
        <v>1010</v>
      </c>
      <c r="B40" s="42">
        <v>2</v>
      </c>
      <c r="C40" s="14" t="s">
        <v>710</v>
      </c>
      <c r="D40" s="42">
        <v>30</v>
      </c>
      <c r="E40" s="42" t="b">
        <v>1</v>
      </c>
      <c r="F40" s="36" t="s">
        <v>78</v>
      </c>
      <c r="G40" s="36">
        <v>2</v>
      </c>
    </row>
    <row r="41" spans="1:7" x14ac:dyDescent="0.25">
      <c r="A41" s="10" t="s">
        <v>1010</v>
      </c>
      <c r="B41" s="42">
        <v>3</v>
      </c>
      <c r="C41" s="42" t="s">
        <v>680</v>
      </c>
      <c r="D41" s="42">
        <v>25</v>
      </c>
      <c r="E41" s="42" t="b">
        <v>0</v>
      </c>
    </row>
    <row r="42" spans="1:7" x14ac:dyDescent="0.25">
      <c r="A42" s="10" t="s">
        <v>1010</v>
      </c>
      <c r="B42" s="42">
        <v>4</v>
      </c>
      <c r="C42" s="42" t="s">
        <v>680</v>
      </c>
      <c r="D42" s="42">
        <v>25</v>
      </c>
      <c r="E42" s="42" t="b">
        <v>0</v>
      </c>
    </row>
    <row r="43" spans="1:7" x14ac:dyDescent="0.25">
      <c r="A43" s="10" t="s">
        <v>1010</v>
      </c>
      <c r="B43" s="42">
        <v>5</v>
      </c>
      <c r="C43" s="42" t="s">
        <v>239</v>
      </c>
      <c r="D43" s="42">
        <v>30</v>
      </c>
      <c r="E43" s="42" t="b">
        <v>0</v>
      </c>
    </row>
    <row r="44" spans="1:7" x14ac:dyDescent="0.25">
      <c r="A44" s="10" t="s">
        <v>1010</v>
      </c>
      <c r="B44" s="42">
        <v>6</v>
      </c>
      <c r="C44" s="42" t="s">
        <v>680</v>
      </c>
      <c r="D44" s="42">
        <v>25</v>
      </c>
      <c r="E44" s="42" t="b">
        <v>0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zoomScale="130" zoomScaleNormal="130" workbookViewId="0">
      <selection activeCell="I14" sqref="I14"/>
    </sheetView>
  </sheetViews>
  <sheetFormatPr defaultRowHeight="15" x14ac:dyDescent="0.25"/>
  <cols>
    <col min="1" max="1" width="10.5703125" style="35" bestFit="1" customWidth="1"/>
    <col min="2" max="2" width="9.140625" style="42" customWidth="1"/>
    <col min="3" max="3" width="10.85546875" style="42" bestFit="1" customWidth="1"/>
    <col min="4" max="4" width="9.140625" style="42" customWidth="1"/>
    <col min="5" max="5" width="10.85546875" style="42" bestFit="1" customWidth="1"/>
    <col min="6" max="6" width="13.140625" style="42" bestFit="1" customWidth="1"/>
    <col min="7" max="7" width="10.85546875" style="42" bestFit="1" customWidth="1"/>
    <col min="8" max="8" width="9.140625" style="42" customWidth="1"/>
    <col min="9" max="9" width="10.85546875" style="42" bestFit="1" customWidth="1"/>
  </cols>
  <sheetData>
    <row r="1" spans="1:9" x14ac:dyDescent="0.25">
      <c r="A1" s="11" t="s">
        <v>1030</v>
      </c>
      <c r="B1" s="26" t="s">
        <v>1031</v>
      </c>
      <c r="C1" s="26" t="s">
        <v>1032</v>
      </c>
      <c r="D1" s="26" t="s">
        <v>1033</v>
      </c>
      <c r="E1" s="26" t="s">
        <v>1034</v>
      </c>
      <c r="F1" s="26" t="s">
        <v>1035</v>
      </c>
      <c r="G1" s="26" t="s">
        <v>1036</v>
      </c>
      <c r="H1" s="26" t="s">
        <v>1037</v>
      </c>
      <c r="I1" s="26" t="s">
        <v>1038</v>
      </c>
    </row>
    <row r="2" spans="1:9" x14ac:dyDescent="0.25">
      <c r="A2" t="s">
        <v>1000</v>
      </c>
      <c r="B2" s="42" t="s">
        <v>127</v>
      </c>
      <c r="C2" s="42">
        <v>100</v>
      </c>
      <c r="D2" s="42" t="s">
        <v>122</v>
      </c>
      <c r="E2" s="42">
        <v>10000</v>
      </c>
      <c r="F2" s="42" t="s">
        <v>204</v>
      </c>
      <c r="G2" s="42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"/>
  <sheetViews>
    <sheetView workbookViewId="0"/>
  </sheetViews>
  <sheetFormatPr defaultRowHeight="15" x14ac:dyDescent="0.25"/>
  <sheetData>
    <row r="1" spans="1:42" x14ac:dyDescent="0.25">
      <c r="A1" t="s">
        <v>25</v>
      </c>
      <c r="B1" t="s">
        <v>1039</v>
      </c>
      <c r="C1" t="s">
        <v>1040</v>
      </c>
      <c r="E1" t="s">
        <v>1041</v>
      </c>
      <c r="F1" t="s">
        <v>331</v>
      </c>
      <c r="G1" t="s">
        <v>330</v>
      </c>
      <c r="H1" t="s">
        <v>332</v>
      </c>
      <c r="I1" t="s">
        <v>1042</v>
      </c>
      <c r="J1" t="s">
        <v>1043</v>
      </c>
      <c r="K1" t="s">
        <v>1044</v>
      </c>
      <c r="L1" t="s">
        <v>1045</v>
      </c>
      <c r="M1" t="s">
        <v>1046</v>
      </c>
      <c r="N1" t="s">
        <v>1047</v>
      </c>
      <c r="P1" t="s">
        <v>1041</v>
      </c>
      <c r="Q1" t="s">
        <v>1048</v>
      </c>
      <c r="R1" t="s">
        <v>1049</v>
      </c>
      <c r="S1" t="s">
        <v>1050</v>
      </c>
      <c r="T1" t="s">
        <v>1051</v>
      </c>
      <c r="U1" t="s">
        <v>1052</v>
      </c>
      <c r="V1" t="s">
        <v>1053</v>
      </c>
      <c r="W1" t="s">
        <v>1054</v>
      </c>
      <c r="X1" t="s">
        <v>1055</v>
      </c>
      <c r="Y1" t="s">
        <v>1056</v>
      </c>
      <c r="AA1" t="s">
        <v>616</v>
      </c>
      <c r="AB1" t="s">
        <v>1057</v>
      </c>
      <c r="AC1" t="s">
        <v>1058</v>
      </c>
      <c r="AD1" t="s">
        <v>1059</v>
      </c>
      <c r="AE1" t="s">
        <v>1060</v>
      </c>
      <c r="AG1" t="s">
        <v>718</v>
      </c>
      <c r="AH1" t="s">
        <v>1061</v>
      </c>
      <c r="AI1" t="s">
        <v>1062</v>
      </c>
      <c r="AJ1" t="s">
        <v>1063</v>
      </c>
      <c r="AK1" t="s">
        <v>1064</v>
      </c>
      <c r="AL1" t="s">
        <v>1065</v>
      </c>
      <c r="AM1" t="s">
        <v>1066</v>
      </c>
      <c r="AN1" t="s">
        <v>1067</v>
      </c>
      <c r="AO1" t="s">
        <v>1068</v>
      </c>
      <c r="AP1" t="s">
        <v>1069</v>
      </c>
    </row>
    <row r="2" spans="1:42" x14ac:dyDescent="0.25">
      <c r="A2" t="s">
        <v>625</v>
      </c>
      <c r="B2">
        <v>1</v>
      </c>
      <c r="C2">
        <v>0</v>
      </c>
      <c r="E2" t="s">
        <v>345</v>
      </c>
      <c r="F2">
        <v>4000</v>
      </c>
      <c r="G2">
        <v>900</v>
      </c>
      <c r="H2">
        <v>375</v>
      </c>
      <c r="I2">
        <v>80</v>
      </c>
      <c r="J2">
        <v>5</v>
      </c>
      <c r="K2">
        <v>0</v>
      </c>
      <c r="L2">
        <v>0</v>
      </c>
      <c r="M2">
        <v>0</v>
      </c>
      <c r="N2">
        <v>5</v>
      </c>
      <c r="P2" t="s">
        <v>345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2</v>
      </c>
      <c r="AA2" t="s">
        <v>621</v>
      </c>
      <c r="AB2">
        <v>1</v>
      </c>
      <c r="AC2">
        <v>1</v>
      </c>
      <c r="AD2">
        <v>1</v>
      </c>
      <c r="AE2">
        <v>0</v>
      </c>
      <c r="AG2" t="s">
        <v>725</v>
      </c>
      <c r="AH2">
        <v>1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629</v>
      </c>
      <c r="B3">
        <v>1.2</v>
      </c>
      <c r="C3">
        <v>1</v>
      </c>
      <c r="E3" t="s">
        <v>338</v>
      </c>
      <c r="F3">
        <v>2750</v>
      </c>
      <c r="G3">
        <v>1650</v>
      </c>
      <c r="H3">
        <v>275</v>
      </c>
      <c r="I3">
        <v>90</v>
      </c>
      <c r="J3">
        <v>5</v>
      </c>
      <c r="K3">
        <v>5</v>
      </c>
      <c r="L3">
        <v>5</v>
      </c>
      <c r="M3">
        <v>2</v>
      </c>
      <c r="N3">
        <v>0</v>
      </c>
      <c r="P3" t="s">
        <v>338</v>
      </c>
      <c r="Q3">
        <v>0</v>
      </c>
      <c r="R3">
        <v>0</v>
      </c>
      <c r="S3">
        <v>0</v>
      </c>
      <c r="T3">
        <v>2</v>
      </c>
      <c r="U3">
        <v>1</v>
      </c>
      <c r="V3">
        <v>3</v>
      </c>
      <c r="W3">
        <v>2</v>
      </c>
      <c r="X3">
        <v>1</v>
      </c>
      <c r="Y3">
        <v>0</v>
      </c>
      <c r="AA3" t="s">
        <v>678</v>
      </c>
      <c r="AB3">
        <v>1</v>
      </c>
      <c r="AC3">
        <v>1.4</v>
      </c>
      <c r="AD3">
        <v>1.2</v>
      </c>
      <c r="AE3">
        <v>0</v>
      </c>
      <c r="AG3" t="s">
        <v>724</v>
      </c>
      <c r="AH3">
        <v>0.95</v>
      </c>
      <c r="AI3">
        <v>1.1000000000000001</v>
      </c>
      <c r="AJ3">
        <v>0.95</v>
      </c>
      <c r="AK3">
        <v>0</v>
      </c>
      <c r="AL3">
        <v>2</v>
      </c>
      <c r="AM3">
        <v>8</v>
      </c>
      <c r="AN3">
        <v>5</v>
      </c>
      <c r="AO3">
        <v>0</v>
      </c>
      <c r="AP3">
        <v>0</v>
      </c>
    </row>
    <row r="4" spans="1:42" x14ac:dyDescent="0.25">
      <c r="A4" t="s">
        <v>639</v>
      </c>
      <c r="B4">
        <v>1.45</v>
      </c>
      <c r="C4">
        <v>2</v>
      </c>
      <c r="E4" t="s">
        <v>341</v>
      </c>
      <c r="F4">
        <v>2000</v>
      </c>
      <c r="G4">
        <v>2250</v>
      </c>
      <c r="H4">
        <v>200</v>
      </c>
      <c r="I4">
        <v>105</v>
      </c>
      <c r="J4">
        <v>10</v>
      </c>
      <c r="K4">
        <v>15</v>
      </c>
      <c r="L4">
        <v>10</v>
      </c>
      <c r="M4">
        <v>5</v>
      </c>
      <c r="N4">
        <v>0</v>
      </c>
      <c r="P4" t="s">
        <v>341</v>
      </c>
      <c r="Q4">
        <v>0</v>
      </c>
      <c r="R4">
        <v>0</v>
      </c>
      <c r="S4">
        <v>0</v>
      </c>
      <c r="T4">
        <v>3</v>
      </c>
      <c r="U4">
        <v>2</v>
      </c>
      <c r="V4">
        <v>3</v>
      </c>
      <c r="W4">
        <v>3</v>
      </c>
      <c r="X4">
        <v>2</v>
      </c>
      <c r="Y4">
        <v>0</v>
      </c>
      <c r="AA4" t="s">
        <v>658</v>
      </c>
      <c r="AB4">
        <v>1.5</v>
      </c>
      <c r="AC4">
        <v>1.2</v>
      </c>
      <c r="AD4">
        <v>1.2</v>
      </c>
      <c r="AE4">
        <v>10</v>
      </c>
      <c r="AG4" t="s">
        <v>726</v>
      </c>
      <c r="AH4">
        <v>1.1499999999999999</v>
      </c>
      <c r="AI4">
        <v>0.9</v>
      </c>
      <c r="AJ4">
        <v>1.1000000000000001</v>
      </c>
      <c r="AK4">
        <v>0</v>
      </c>
      <c r="AL4">
        <v>0</v>
      </c>
      <c r="AM4">
        <v>0</v>
      </c>
      <c r="AN4">
        <v>0</v>
      </c>
      <c r="AO4">
        <v>0</v>
      </c>
      <c r="AP4">
        <v>5</v>
      </c>
    </row>
    <row r="5" spans="1:42" x14ac:dyDescent="0.25">
      <c r="A5" t="s">
        <v>620</v>
      </c>
      <c r="B5">
        <v>1.7</v>
      </c>
      <c r="C5">
        <v>3</v>
      </c>
      <c r="E5" t="s">
        <v>347</v>
      </c>
      <c r="F5">
        <v>2250</v>
      </c>
      <c r="G5">
        <v>2100</v>
      </c>
      <c r="H5">
        <v>210</v>
      </c>
      <c r="I5">
        <v>95</v>
      </c>
      <c r="J5">
        <v>5</v>
      </c>
      <c r="K5">
        <v>10</v>
      </c>
      <c r="L5">
        <v>0</v>
      </c>
      <c r="M5">
        <v>5</v>
      </c>
      <c r="N5">
        <v>0</v>
      </c>
      <c r="P5" t="s">
        <v>347</v>
      </c>
      <c r="Q5">
        <v>0</v>
      </c>
      <c r="R5">
        <v>0</v>
      </c>
      <c r="S5">
        <v>0</v>
      </c>
      <c r="T5">
        <v>2</v>
      </c>
      <c r="U5">
        <v>1</v>
      </c>
      <c r="V5">
        <v>3</v>
      </c>
      <c r="W5">
        <v>0</v>
      </c>
      <c r="X5">
        <v>2</v>
      </c>
      <c r="Y5">
        <v>0</v>
      </c>
      <c r="AG5" t="s">
        <v>727</v>
      </c>
      <c r="AH5">
        <v>0.95</v>
      </c>
      <c r="AI5">
        <v>0.95</v>
      </c>
      <c r="AJ5">
        <v>0.95</v>
      </c>
      <c r="AK5">
        <v>8</v>
      </c>
      <c r="AL5">
        <v>5</v>
      </c>
      <c r="AM5">
        <v>0</v>
      </c>
      <c r="AN5">
        <v>0</v>
      </c>
      <c r="AO5">
        <v>0</v>
      </c>
      <c r="AP5">
        <v>0</v>
      </c>
    </row>
    <row r="6" spans="1:42" x14ac:dyDescent="0.25">
      <c r="E6" t="s">
        <v>343</v>
      </c>
      <c r="F6">
        <v>3000</v>
      </c>
      <c r="G6">
        <v>1050</v>
      </c>
      <c r="H6">
        <v>250</v>
      </c>
      <c r="I6">
        <v>100</v>
      </c>
      <c r="J6">
        <v>5</v>
      </c>
      <c r="K6">
        <v>0</v>
      </c>
      <c r="L6">
        <v>0</v>
      </c>
      <c r="M6">
        <v>0</v>
      </c>
      <c r="N6">
        <v>3</v>
      </c>
      <c r="P6" t="s">
        <v>343</v>
      </c>
      <c r="Q6">
        <v>0</v>
      </c>
      <c r="R6">
        <v>0</v>
      </c>
      <c r="S6">
        <v>0</v>
      </c>
      <c r="T6">
        <v>3</v>
      </c>
      <c r="U6">
        <v>0</v>
      </c>
      <c r="V6">
        <v>0</v>
      </c>
      <c r="W6">
        <v>0</v>
      </c>
      <c r="X6">
        <v>0</v>
      </c>
      <c r="Y6">
        <v>2</v>
      </c>
      <c r="AG6" t="s">
        <v>728</v>
      </c>
      <c r="AH6">
        <v>1</v>
      </c>
      <c r="AI6">
        <v>1.05</v>
      </c>
      <c r="AJ6">
        <v>1.05</v>
      </c>
      <c r="AK6">
        <v>-5</v>
      </c>
      <c r="AL6">
        <v>0</v>
      </c>
      <c r="AM6">
        <v>0</v>
      </c>
      <c r="AN6">
        <v>15</v>
      </c>
      <c r="AO6">
        <v>0</v>
      </c>
      <c r="AP6">
        <v>0</v>
      </c>
    </row>
    <row r="7" spans="1:42" x14ac:dyDescent="0.25">
      <c r="E7" t="s">
        <v>351</v>
      </c>
      <c r="F7">
        <v>2200</v>
      </c>
      <c r="G7">
        <v>2200</v>
      </c>
      <c r="H7">
        <v>220</v>
      </c>
      <c r="I7">
        <v>100</v>
      </c>
      <c r="J7">
        <v>8</v>
      </c>
      <c r="K7">
        <v>10</v>
      </c>
      <c r="L7">
        <v>5</v>
      </c>
      <c r="M7">
        <v>4</v>
      </c>
      <c r="N7">
        <v>0</v>
      </c>
      <c r="P7" t="s">
        <v>351</v>
      </c>
      <c r="Q7">
        <v>0</v>
      </c>
      <c r="R7">
        <v>0</v>
      </c>
      <c r="S7">
        <v>0</v>
      </c>
      <c r="T7">
        <v>3</v>
      </c>
      <c r="U7">
        <v>2</v>
      </c>
      <c r="V7">
        <v>3</v>
      </c>
      <c r="W7">
        <v>2</v>
      </c>
      <c r="X7">
        <v>1</v>
      </c>
      <c r="Y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Item_Master</vt:lpstr>
      <vt:lpstr>Item_Detail</vt:lpstr>
      <vt:lpstr>Weapon</vt:lpstr>
      <vt:lpstr>Passives</vt:lpstr>
      <vt:lpstr>StaticModifiers</vt:lpstr>
      <vt:lpstr>CombatEvents</vt:lpstr>
      <vt:lpstr>EffectConfig</vt:lpstr>
      <vt:lpstr>Armor</vt:lpstr>
      <vt:lpstr>SubstatPool</vt:lpstr>
      <vt:lpstr>SetBonusConfig</vt:lpstr>
      <vt:lpstr>Character</vt:lpstr>
      <vt:lpstr>CharacterStat</vt:lpstr>
      <vt:lpstr>SkillConfig</vt:lpstr>
      <vt:lpstr>CharacterUpgrade</vt:lpstr>
      <vt:lpstr>CharacterAttribute</vt:lpstr>
      <vt:lpstr>ExpCurvesConfig</vt:lpstr>
      <vt:lpstr>AscensionConfig</vt:lpstr>
      <vt:lpstr>StarUp</vt:lpstr>
      <vt:lpstr>BattleConfig</vt:lpstr>
      <vt:lpstr>StageEnemies</vt:lpstr>
      <vt:lpstr>RewardConfig</vt:lpstr>
      <vt:lpstr>Stat_Matrix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2015-06-05T18:17:20Z</dcterms:created>
  <dcterms:modified xsi:type="dcterms:W3CDTF">2026-08-25T10:14:55Z</dcterms:modified>
</cp:coreProperties>
</file>